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1e208f9e4a0476a/Desktop/README.md/sql00_schema_and_seed.sql/"/>
    </mc:Choice>
  </mc:AlternateContent>
  <xr:revisionPtr revIDLastSave="207" documentId="11_F25DC773A252ABDACC104895C19E7EF25ADE58E7" xr6:coauthVersionLast="47" xr6:coauthVersionMax="47" xr10:uidLastSave="{0AFF5ADF-663E-40CE-A730-F72E64689A5D}"/>
  <bookViews>
    <workbookView xWindow="-108" yWindow="-108" windowWidth="23256" windowHeight="12456" activeTab="1" xr2:uid="{00000000-000D-0000-FFFF-FFFF00000000}"/>
  </bookViews>
  <sheets>
    <sheet name="dataorders_enriched csv " sheetId="2" r:id="rId1"/>
    <sheet name="Phase 3 clean _enriched CSV" sheetId="5" r:id="rId2"/>
    <sheet name="Completed Orders" sheetId="1" r:id="rId3"/>
    <sheet name="Pivot Table" sheetId="3" r:id="rId4"/>
    <sheet name="Comparison" sheetId="4" r:id="rId5"/>
  </sheets>
  <externalReferences>
    <externalReference r:id="rId6"/>
  </externalReferences>
  <definedNames>
    <definedName name="ExternalData_1" localSheetId="0" hidden="1">'dataorders_enriched csv '!$A$1:$P$91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2" i="2"/>
  <c r="D3" i="2"/>
  <c r="D4" i="2"/>
  <c r="D5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L3" i="1"/>
  <c r="O3" i="1"/>
  <c r="N3" i="1"/>
  <c r="M3" i="1"/>
  <c r="K3" i="1"/>
  <c r="Y3" i="2"/>
  <c r="X3" i="2"/>
  <c r="V3" i="2"/>
  <c r="U3" i="2"/>
  <c r="W3" i="2"/>
  <c r="T3" i="2"/>
  <c r="S16" i="2"/>
  <c r="N5" i="2"/>
  <c r="N51" i="2"/>
  <c r="N22" i="2"/>
  <c r="N23" i="2"/>
  <c r="N52" i="2"/>
  <c r="N85" i="2"/>
  <c r="N86" i="2"/>
  <c r="N39" i="2"/>
  <c r="N40" i="2"/>
  <c r="N32" i="2"/>
  <c r="N34" i="2"/>
  <c r="N24" i="2"/>
  <c r="N37" i="2"/>
  <c r="N67" i="2"/>
  <c r="N45" i="2"/>
  <c r="N49" i="2"/>
  <c r="N54" i="2"/>
  <c r="N71" i="2"/>
  <c r="N25" i="2"/>
  <c r="N76" i="2"/>
  <c r="N73" i="2"/>
  <c r="N79" i="2"/>
  <c r="N87" i="2"/>
  <c r="N83" i="2"/>
  <c r="N55" i="2"/>
  <c r="N26" i="2"/>
  <c r="N2" i="2"/>
  <c r="N3" i="2"/>
  <c r="N10" i="2"/>
  <c r="N27" i="2"/>
  <c r="N11" i="2"/>
  <c r="N14" i="2"/>
  <c r="N41" i="2"/>
  <c r="N20" i="2"/>
  <c r="N56" i="2"/>
  <c r="N28" i="2"/>
  <c r="N42" i="2"/>
  <c r="N60" i="2"/>
  <c r="N36" i="2"/>
  <c r="N13" i="2"/>
  <c r="N68" i="2"/>
  <c r="N70" i="2"/>
  <c r="N48" i="2"/>
  <c r="N21" i="2"/>
  <c r="N53" i="2"/>
  <c r="N18" i="2"/>
  <c r="N44" i="2"/>
  <c r="N57" i="2"/>
  <c r="N58" i="2"/>
  <c r="N31" i="2"/>
  <c r="N61" i="2"/>
  <c r="N29" i="2"/>
  <c r="N65" i="2"/>
  <c r="N62" i="2"/>
  <c r="N46" i="2"/>
  <c r="N74" i="2"/>
  <c r="N30" i="2"/>
  <c r="N63" i="2"/>
  <c r="N47" i="2"/>
  <c r="N66" i="2"/>
  <c r="N19" i="2"/>
  <c r="N4" i="2"/>
  <c r="N88" i="2"/>
  <c r="N80" i="2"/>
  <c r="N81" i="2"/>
  <c r="N12" i="2"/>
  <c r="N50" i="2"/>
  <c r="N15" i="2"/>
  <c r="N16" i="2"/>
  <c r="N89" i="2"/>
  <c r="N75" i="2"/>
  <c r="N38" i="2"/>
  <c r="N77" i="2"/>
  <c r="N43" i="2"/>
  <c r="N82" i="2"/>
  <c r="N90" i="2"/>
  <c r="N33" i="2"/>
  <c r="N59" i="2"/>
  <c r="N6" i="2"/>
  <c r="N64" i="2"/>
  <c r="N7" i="2"/>
  <c r="N35" i="2"/>
  <c r="N69" i="2"/>
  <c r="N8" i="2"/>
  <c r="N78" i="2"/>
  <c r="N72" i="2"/>
  <c r="N84" i="2"/>
  <c r="N9" i="2"/>
  <c r="N17" i="2"/>
  <c r="N91" i="2"/>
  <c r="J5" i="2"/>
  <c r="J51" i="2"/>
  <c r="J22" i="2"/>
  <c r="J23" i="2"/>
  <c r="J52" i="2"/>
  <c r="J85" i="2"/>
  <c r="Q85" i="2" s="1"/>
  <c r="J86" i="2"/>
  <c r="Q86" i="2" s="1"/>
  <c r="J39" i="2"/>
  <c r="J40" i="2"/>
  <c r="J32" i="2"/>
  <c r="J34" i="2"/>
  <c r="J24" i="2"/>
  <c r="J37" i="2"/>
  <c r="J67" i="2"/>
  <c r="Q67" i="2" s="1"/>
  <c r="J45" i="2"/>
  <c r="J49" i="2"/>
  <c r="J54" i="2"/>
  <c r="J71" i="2"/>
  <c r="Q71" i="2" s="1"/>
  <c r="J25" i="2"/>
  <c r="J76" i="2"/>
  <c r="Q76" i="2" s="1"/>
  <c r="J73" i="2"/>
  <c r="Q73" i="2" s="1"/>
  <c r="J79" i="2"/>
  <c r="Q79" i="2" s="1"/>
  <c r="J87" i="2"/>
  <c r="Q87" i="2" s="1"/>
  <c r="J83" i="2"/>
  <c r="Q83" i="2" s="1"/>
  <c r="J55" i="2"/>
  <c r="J26" i="2"/>
  <c r="J2" i="2"/>
  <c r="J3" i="2"/>
  <c r="J10" i="2"/>
  <c r="J27" i="2"/>
  <c r="J11" i="2"/>
  <c r="J14" i="2"/>
  <c r="J41" i="2"/>
  <c r="J20" i="2"/>
  <c r="J56" i="2"/>
  <c r="J28" i="2"/>
  <c r="J42" i="2"/>
  <c r="J60" i="2"/>
  <c r="J36" i="2"/>
  <c r="J13" i="2"/>
  <c r="J68" i="2"/>
  <c r="Q68" i="2" s="1"/>
  <c r="J70" i="2"/>
  <c r="Q70" i="2" s="1"/>
  <c r="J48" i="2"/>
  <c r="J21" i="2"/>
  <c r="J53" i="2"/>
  <c r="J18" i="2"/>
  <c r="J44" i="2"/>
  <c r="J57" i="2"/>
  <c r="J58" i="2"/>
  <c r="J31" i="2"/>
  <c r="J61" i="2"/>
  <c r="J29" i="2"/>
  <c r="J65" i="2"/>
  <c r="J62" i="2"/>
  <c r="J46" i="2"/>
  <c r="J74" i="2"/>
  <c r="Q74" i="2" s="1"/>
  <c r="J30" i="2"/>
  <c r="J63" i="2"/>
  <c r="J47" i="2"/>
  <c r="J66" i="2"/>
  <c r="Q66" i="2" s="1"/>
  <c r="J19" i="2"/>
  <c r="J4" i="2"/>
  <c r="J88" i="2"/>
  <c r="Q88" i="2" s="1"/>
  <c r="J80" i="2"/>
  <c r="Q80" i="2" s="1"/>
  <c r="J81" i="2"/>
  <c r="Q81" i="2" s="1"/>
  <c r="J12" i="2"/>
  <c r="J50" i="2"/>
  <c r="J15" i="2"/>
  <c r="J16" i="2"/>
  <c r="J89" i="2"/>
  <c r="Q89" i="2" s="1"/>
  <c r="J75" i="2"/>
  <c r="Q75" i="2" s="1"/>
  <c r="J38" i="2"/>
  <c r="J77" i="2"/>
  <c r="Q77" i="2" s="1"/>
  <c r="J43" i="2"/>
  <c r="J82" i="2"/>
  <c r="Q82" i="2" s="1"/>
  <c r="J90" i="2"/>
  <c r="Q90" i="2" s="1"/>
  <c r="J33" i="2"/>
  <c r="J59" i="2"/>
  <c r="J6" i="2"/>
  <c r="J64" i="2"/>
  <c r="J7" i="2"/>
  <c r="J35" i="2"/>
  <c r="J69" i="2"/>
  <c r="Q69" i="2" s="1"/>
  <c r="J8" i="2"/>
  <c r="J78" i="2"/>
  <c r="Q78" i="2" s="1"/>
  <c r="J72" i="2"/>
  <c r="Q72" i="2" s="1"/>
  <c r="J84" i="2"/>
  <c r="Q84" i="2" s="1"/>
  <c r="J9" i="2"/>
  <c r="J17" i="2"/>
  <c r="J91" i="2"/>
  <c r="Q91" i="2" s="1"/>
  <c r="E5" i="2"/>
  <c r="E51" i="2"/>
  <c r="E22" i="2"/>
  <c r="E23" i="2"/>
  <c r="E52" i="2"/>
  <c r="E85" i="2"/>
  <c r="E86" i="2"/>
  <c r="E39" i="2"/>
  <c r="E40" i="2"/>
  <c r="E32" i="2"/>
  <c r="E34" i="2"/>
  <c r="E24" i="2"/>
  <c r="E37" i="2"/>
  <c r="E67" i="2"/>
  <c r="E45" i="2"/>
  <c r="E49" i="2"/>
  <c r="E54" i="2"/>
  <c r="E71" i="2"/>
  <c r="E25" i="2"/>
  <c r="E76" i="2"/>
  <c r="E73" i="2"/>
  <c r="E79" i="2"/>
  <c r="E87" i="2"/>
  <c r="E83" i="2"/>
  <c r="E55" i="2"/>
  <c r="E26" i="2"/>
  <c r="E2" i="2"/>
  <c r="E3" i="2"/>
  <c r="E10" i="2"/>
  <c r="E27" i="2"/>
  <c r="E11" i="2"/>
  <c r="E14" i="2"/>
  <c r="E41" i="2"/>
  <c r="E20" i="2"/>
  <c r="E56" i="2"/>
  <c r="E28" i="2"/>
  <c r="E42" i="2"/>
  <c r="E60" i="2"/>
  <c r="E36" i="2"/>
  <c r="E13" i="2"/>
  <c r="E68" i="2"/>
  <c r="E70" i="2"/>
  <c r="E48" i="2"/>
  <c r="E21" i="2"/>
  <c r="E53" i="2"/>
  <c r="E18" i="2"/>
  <c r="E44" i="2"/>
  <c r="E57" i="2"/>
  <c r="E58" i="2"/>
  <c r="E31" i="2"/>
  <c r="E61" i="2"/>
  <c r="E29" i="2"/>
  <c r="E65" i="2"/>
  <c r="E62" i="2"/>
  <c r="E46" i="2"/>
  <c r="E74" i="2"/>
  <c r="E30" i="2"/>
  <c r="E63" i="2"/>
  <c r="E47" i="2"/>
  <c r="E66" i="2"/>
  <c r="E19" i="2"/>
  <c r="E4" i="2"/>
  <c r="E88" i="2"/>
  <c r="E80" i="2"/>
  <c r="E81" i="2"/>
  <c r="E12" i="2"/>
  <c r="E50" i="2"/>
  <c r="E15" i="2"/>
  <c r="E16" i="2"/>
  <c r="E89" i="2"/>
  <c r="E75" i="2"/>
  <c r="E38" i="2"/>
  <c r="E77" i="2"/>
  <c r="E43" i="2"/>
  <c r="E82" i="2"/>
  <c r="E90" i="2"/>
  <c r="E33" i="2"/>
  <c r="E59" i="2"/>
  <c r="E6" i="2"/>
  <c r="E64" i="2"/>
  <c r="E7" i="2"/>
  <c r="E35" i="2"/>
  <c r="E69" i="2"/>
  <c r="E8" i="2"/>
  <c r="E78" i="2"/>
  <c r="E72" i="2"/>
  <c r="E84" i="2"/>
  <c r="E9" i="2"/>
  <c r="E17" i="2"/>
  <c r="E91" i="2"/>
  <c r="Q22" i="2" l="1"/>
  <c r="Q23" i="2"/>
  <c r="Q52" i="2"/>
  <c r="Q39" i="2"/>
  <c r="Q40" i="2"/>
  <c r="Q32" i="2"/>
  <c r="Q34" i="2"/>
  <c r="Q24" i="2"/>
  <c r="Q45" i="2"/>
  <c r="Q49" i="2"/>
  <c r="Q54" i="2"/>
  <c r="Q25" i="2"/>
  <c r="Q26" i="2"/>
  <c r="T9" i="2"/>
  <c r="Q2" i="2"/>
  <c r="Q5" i="2"/>
  <c r="Q51" i="2"/>
  <c r="Q37" i="2"/>
  <c r="Q55" i="2"/>
  <c r="Q3" i="2"/>
  <c r="Q10" i="2"/>
  <c r="Q27" i="2"/>
  <c r="Q11" i="2"/>
  <c r="Q14" i="2"/>
  <c r="Q41" i="2"/>
  <c r="Q20" i="2"/>
  <c r="Q56" i="2"/>
  <c r="Q28" i="2"/>
  <c r="Q42" i="2"/>
  <c r="Q60" i="2"/>
  <c r="Q36" i="2"/>
  <c r="Q13" i="2"/>
  <c r="Q48" i="2"/>
  <c r="Q21" i="2"/>
  <c r="Q53" i="2"/>
  <c r="Q18" i="2"/>
  <c r="Q44" i="2"/>
  <c r="Q57" i="2"/>
  <c r="Q58" i="2"/>
  <c r="Q31" i="2"/>
  <c r="Q61" i="2"/>
  <c r="Q29" i="2"/>
  <c r="Q65" i="2"/>
  <c r="Q62" i="2"/>
  <c r="Q46" i="2"/>
  <c r="Q30" i="2"/>
  <c r="Q63" i="2"/>
  <c r="Q47" i="2"/>
  <c r="Q19" i="2"/>
  <c r="Q4" i="2"/>
  <c r="Q12" i="2"/>
  <c r="Q50" i="2"/>
  <c r="Q15" i="2"/>
  <c r="Q16" i="2"/>
  <c r="Q38" i="2"/>
  <c r="Q43" i="2"/>
  <c r="Q33" i="2"/>
  <c r="Q59" i="2"/>
  <c r="Q6" i="2"/>
  <c r="Q64" i="2"/>
  <c r="Q7" i="2"/>
  <c r="Q35" i="2"/>
  <c r="Q8" i="2"/>
  <c r="Q9" i="2"/>
  <c r="Q1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51294-C000-4D9C-9134-2DDC9B7E3834}" keepAlive="1" name="Query - dataorders_enriched csv 1" description="Connection to the 'dataorders_enriched csv 1' query in the workbook." type="5" refreshedVersion="8" background="1" saveData="1">
    <dbPr connection="Provider=Microsoft.Mashup.OleDb.1;Data Source=$Workbook$;Location=&quot;dataorders_enriched csv 1&quot;;Extended Properties=&quot;&quot;" command="SELECT * FROM [dataorders_enriched csv 1]"/>
  </connection>
</connections>
</file>

<file path=xl/sharedStrings.xml><?xml version="1.0" encoding="utf-8"?>
<sst xmlns="http://schemas.openxmlformats.org/spreadsheetml/2006/main" count="1499" uniqueCount="144">
  <si>
    <t>order_id</t>
  </si>
  <si>
    <t>order_month</t>
  </si>
  <si>
    <t>first_name</t>
  </si>
  <si>
    <t>last_name</t>
  </si>
  <si>
    <t>region</t>
  </si>
  <si>
    <t>rep_name</t>
  </si>
  <si>
    <t>category</t>
  </si>
  <si>
    <t>unit_price</t>
  </si>
  <si>
    <t>item</t>
  </si>
  <si>
    <t>quantity</t>
  </si>
  <si>
    <t>amount</t>
  </si>
  <si>
    <t>status</t>
  </si>
  <si>
    <t>Gaurav</t>
  </si>
  <si>
    <t>Yadav</t>
  </si>
  <si>
    <t>East</t>
  </si>
  <si>
    <t>Sanjay Roy</t>
  </si>
  <si>
    <t>Apparel</t>
  </si>
  <si>
    <t>Cotton Kurta</t>
  </si>
  <si>
    <t>2800</t>
  </si>
  <si>
    <t>pending</t>
  </si>
  <si>
    <t>Sneha</t>
  </si>
  <si>
    <t>Das</t>
  </si>
  <si>
    <t>West</t>
  </si>
  <si>
    <t>Neha Kulkarni</t>
  </si>
  <si>
    <t>Running Shoes</t>
  </si>
  <si>
    <t>3600</t>
  </si>
  <si>
    <t>completed</t>
  </si>
  <si>
    <t>Pooja</t>
  </si>
  <si>
    <t>Menon</t>
  </si>
  <si>
    <t>Denim Jacket</t>
  </si>
  <si>
    <t>7500</t>
  </si>
  <si>
    <t xml:space="preserve">  Vikram</t>
  </si>
  <si>
    <t xml:space="preserve">Singh </t>
  </si>
  <si>
    <t>North</t>
  </si>
  <si>
    <t>Arjun Mehta</t>
  </si>
  <si>
    <t>7200</t>
  </si>
  <si>
    <t>Manoj</t>
  </si>
  <si>
    <t>Desai</t>
  </si>
  <si>
    <t>Priya</t>
  </si>
  <si>
    <t>iyer</t>
  </si>
  <si>
    <t>South</t>
  </si>
  <si>
    <t>Kavya Nair</t>
  </si>
  <si>
    <t>1400</t>
  </si>
  <si>
    <t xml:space="preserve">Aditya </t>
  </si>
  <si>
    <t>Rao</t>
  </si>
  <si>
    <t>5000</t>
  </si>
  <si>
    <t>Lakshmi</t>
  </si>
  <si>
    <t>Kapoor</t>
  </si>
  <si>
    <t xml:space="preserve">  Isha</t>
  </si>
  <si>
    <t>Pillai</t>
  </si>
  <si>
    <t>disputed</t>
  </si>
  <si>
    <t>Swati</t>
  </si>
  <si>
    <t>Banerjee</t>
  </si>
  <si>
    <t>2500</t>
  </si>
  <si>
    <t>Divya</t>
  </si>
  <si>
    <t>Gupta</t>
  </si>
  <si>
    <t>Tanvi</t>
  </si>
  <si>
    <t>Thakur</t>
  </si>
  <si>
    <t>RAHUL</t>
  </si>
  <si>
    <t>VERMA</t>
  </si>
  <si>
    <t>MEERA</t>
  </si>
  <si>
    <t xml:space="preserve">  Patil</t>
  </si>
  <si>
    <t>Nisha</t>
  </si>
  <si>
    <t>Mishra</t>
  </si>
  <si>
    <t>4200</t>
  </si>
  <si>
    <t xml:space="preserve">karthik </t>
  </si>
  <si>
    <t>nair</t>
  </si>
  <si>
    <t>10800</t>
  </si>
  <si>
    <t>Electronics</t>
  </si>
  <si>
    <t>Bluetooth Speaker</t>
  </si>
  <si>
    <t>NULL</t>
  </si>
  <si>
    <t>Smart Watch</t>
  </si>
  <si>
    <t>4500</t>
  </si>
  <si>
    <t>13500</t>
  </si>
  <si>
    <t>Wireless Earbuds</t>
  </si>
  <si>
    <t>6400</t>
  </si>
  <si>
    <t>Harsh</t>
  </si>
  <si>
    <t>Chopra</t>
  </si>
  <si>
    <t>9000</t>
  </si>
  <si>
    <t>3200</t>
  </si>
  <si>
    <t>aarav</t>
  </si>
  <si>
    <t>Sharma</t>
  </si>
  <si>
    <t>Rohit</t>
  </si>
  <si>
    <t>Khan</t>
  </si>
  <si>
    <t>9600</t>
  </si>
  <si>
    <t>5600</t>
  </si>
  <si>
    <t>suresh</t>
  </si>
  <si>
    <t>BOSE</t>
  </si>
  <si>
    <t>Home</t>
  </si>
  <si>
    <t>Air Fryer</t>
  </si>
  <si>
    <t>10400</t>
  </si>
  <si>
    <t>Table Lamp</t>
  </si>
  <si>
    <t>1100</t>
  </si>
  <si>
    <t>Bedsheet Set</t>
  </si>
  <si>
    <t>1900</t>
  </si>
  <si>
    <t>15600</t>
  </si>
  <si>
    <t>3800</t>
  </si>
  <si>
    <t>2200</t>
  </si>
  <si>
    <t>5200</t>
  </si>
  <si>
    <t>Clean_first name</t>
  </si>
  <si>
    <t>Clean_last_name</t>
  </si>
  <si>
    <t>Unit-price</t>
  </si>
  <si>
    <t>Amount</t>
  </si>
  <si>
    <t>amount2</t>
  </si>
  <si>
    <t>Revenue</t>
  </si>
  <si>
    <t>Vlookup(Category)</t>
  </si>
  <si>
    <t>Xlookup(Category)</t>
  </si>
  <si>
    <t>Xlookup(Spare cell test)</t>
  </si>
  <si>
    <t>Category</t>
  </si>
  <si>
    <t>Unit price</t>
  </si>
  <si>
    <t>Count</t>
  </si>
  <si>
    <t>Sum</t>
  </si>
  <si>
    <t>Average</t>
  </si>
  <si>
    <t>Min</t>
  </si>
  <si>
    <t>Max</t>
  </si>
  <si>
    <t>Grand Total</t>
  </si>
  <si>
    <t>Sep</t>
  </si>
  <si>
    <t>Oct</t>
  </si>
  <si>
    <t>Nov</t>
  </si>
  <si>
    <t>Sum of Amount</t>
  </si>
  <si>
    <t>Count of order_id</t>
  </si>
  <si>
    <t>Merit</t>
  </si>
  <si>
    <t>Return</t>
  </si>
  <si>
    <t>SQL - Q5</t>
  </si>
  <si>
    <t>Excel</t>
  </si>
  <si>
    <t>Remarks</t>
  </si>
  <si>
    <t>Match</t>
  </si>
  <si>
    <t xml:space="preserve">Sum </t>
  </si>
  <si>
    <t>Order_Month</t>
  </si>
  <si>
    <t>Region</t>
  </si>
  <si>
    <t>Verma</t>
  </si>
  <si>
    <t>Singh</t>
  </si>
  <si>
    <t>Nair</t>
  </si>
  <si>
    <t>Iyer</t>
  </si>
  <si>
    <t>Bose</t>
  </si>
  <si>
    <t>Patil</t>
  </si>
  <si>
    <t>Aditya</t>
  </si>
  <si>
    <t>Rahul</t>
  </si>
  <si>
    <t>Vikram</t>
  </si>
  <si>
    <t>Karthik</t>
  </si>
  <si>
    <t>Meera</t>
  </si>
  <si>
    <t>Isha</t>
  </si>
  <si>
    <t>Aarav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</si>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</sst>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0" xfId="0" applyAlignment="1">
      <alignment horizontal="center"/>
    </xf>
    <xf numFmtId="0" fontId="1" fillId="2" borderId="0" xfId="0" applyFont="1" applyFill="1"/>
    <xf numFmtId="0" fontId="0" fillId="5" borderId="0" xfId="0" applyFill="1" applyAlignment="1">
      <alignment horizontal="center"/>
    </xf>
    <xf numFmtId="0" fontId="1" fillId="4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6" borderId="1" xfId="0" applyFont="1" applyFill="1" applyBorder="1"/>
    <xf numFmtId="0" fontId="4" fillId="7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pivotButton="1" applyFont="1" applyBorder="1"/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57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1e208f9e4a0476a/Desktop/README.md/sql00_schema_and_seed.sql/dataorders_enroched%20clean.xlsx" TargetMode="External"/><Relationship Id="rId1" Type="http://schemas.openxmlformats.org/officeDocument/2006/relationships/externalLinkPath" Target="dataorders_enroched%20cl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orders_enriched csv"/>
      <sheetName val="Completed orders"/>
      <sheetName val="Pivot Table "/>
      <sheetName val="Comparison"/>
      <sheetName val="dataorders_enroched clean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20.828934837962" createdVersion="8" refreshedVersion="8" minRefreshableVersion="3" recordCount="63" xr:uid="{C5D43DDB-0A51-4010-B5CA-6DA4F6FAF555}">
  <cacheSource type="worksheet">
    <worksheetSource ref="A2:I65" sheet="Completed Orders"/>
  </cacheSource>
  <cacheFields count="11">
    <cacheField name="order_id" numFmtId="0">
      <sharedItems containsSemiMixedTypes="0" containsString="0" containsNumber="1" containsInteger="1" minValue="1005" maxValue="1090"/>
    </cacheField>
    <cacheField name="order_month" numFmtId="14">
      <sharedItems containsSemiMixedTypes="0" containsNonDate="0" containsDate="1" containsString="0" minDate="2026-09-01T00:00:00" maxDate="2026-11-02T00:00:00" count="3">
        <d v="2026-11-01T00:00:00"/>
        <d v="2026-09-01T00:00:00"/>
        <d v="2026-10-01T00:00:00"/>
      </sharedItems>
      <fieldGroup par="10"/>
    </cacheField>
    <cacheField name="region" numFmtId="0">
      <sharedItems count="4">
        <s v="West"/>
        <s v="South"/>
        <s v="East"/>
        <s v="North"/>
      </sharedItems>
    </cacheField>
    <cacheField name="category" numFmtId="0">
      <sharedItems count="3">
        <s v="Home"/>
        <s v="Electronics"/>
        <s v="Apparel"/>
      </sharedItems>
    </cacheField>
    <cacheField name="Unit-price" numFmtId="0">
      <sharedItems containsSemiMixedTypes="0" containsString="0" containsNumber="1" containsInteger="1" minValue="1100" maxValue="5200"/>
    </cacheField>
    <cacheField name="item" numFmtId="0">
      <sharedItems/>
    </cacheField>
    <cacheField name="quantity" numFmtId="0">
      <sharedItems containsSemiMixedTypes="0" containsString="0" containsNumber="1" containsInteger="1" minValue="1" maxValue="3"/>
    </cacheField>
    <cacheField name="Amount" numFmtId="0">
      <sharedItems containsSemiMixedTypes="0" containsString="0" containsNumber="1" containsInteger="1" minValue="1100" maxValue="15600"/>
    </cacheField>
    <cacheField name="status" numFmtId="0">
      <sharedItems/>
    </cacheField>
    <cacheField name="Days (order_month)" numFmtId="0" databaseField="0">
      <fieldGroup base="1">
        <rangePr groupBy="days" startDate="2026-09-01T00:00:00" endDate="2026-11-02T00:00:00"/>
        <groupItems count="368">
          <s v="&lt;01-09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1-2026"/>
        </groupItems>
      </fieldGroup>
    </cacheField>
    <cacheField name="Months (order_month)" numFmtId="0" databaseField="0">
      <fieldGroup base="1">
        <rangePr groupBy="months" startDate="2026-09-01T00:00:00" endDate="2026-11-02T00:00:00"/>
        <groupItems count="14">
          <s v="&lt;01-09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061"/>
    <x v="0"/>
    <x v="0"/>
    <x v="0"/>
    <n v="5200"/>
    <s v="Air Fryer"/>
    <n v="3"/>
    <n v="15600"/>
    <s v="completed"/>
  </r>
  <r>
    <n v="1065"/>
    <x v="0"/>
    <x v="1"/>
    <x v="0"/>
    <n v="5200"/>
    <s v="Air Fryer"/>
    <n v="3"/>
    <n v="15600"/>
    <s v="completed"/>
  </r>
  <r>
    <n v="1069"/>
    <x v="0"/>
    <x v="2"/>
    <x v="0"/>
    <n v="5200"/>
    <s v="Air Fryer"/>
    <n v="3"/>
    <n v="15600"/>
    <s v="completed"/>
  </r>
  <r>
    <n v="1077"/>
    <x v="0"/>
    <x v="2"/>
    <x v="0"/>
    <n v="5200"/>
    <s v="Air Fryer"/>
    <n v="3"/>
    <n v="15600"/>
    <s v="completed"/>
  </r>
  <r>
    <n v="1006"/>
    <x v="1"/>
    <x v="3"/>
    <x v="1"/>
    <n v="4500"/>
    <s v="Smart Watch"/>
    <n v="3"/>
    <n v="13500"/>
    <s v="completed"/>
  </r>
  <r>
    <n v="1040"/>
    <x v="2"/>
    <x v="3"/>
    <x v="1"/>
    <n v="4500"/>
    <s v="Smart Watch"/>
    <n v="3"/>
    <n v="13500"/>
    <s v="completed"/>
  </r>
  <r>
    <n v="1021"/>
    <x v="1"/>
    <x v="3"/>
    <x v="0"/>
    <n v="5200"/>
    <s v="Air Fryer"/>
    <n v="2"/>
    <n v="10400"/>
    <s v="completed"/>
  </r>
  <r>
    <n v="1022"/>
    <x v="1"/>
    <x v="3"/>
    <x v="0"/>
    <n v="5200"/>
    <s v="Air Fryer"/>
    <n v="2"/>
    <n v="10400"/>
    <s v="completed"/>
  </r>
  <r>
    <n v="1083"/>
    <x v="0"/>
    <x v="1"/>
    <x v="0"/>
    <n v="5200"/>
    <s v="Air Fryer"/>
    <n v="2"/>
    <n v="10400"/>
    <s v="completed"/>
  </r>
  <r>
    <n v="1054"/>
    <x v="2"/>
    <x v="3"/>
    <x v="1"/>
    <n v="3200"/>
    <s v="Wireless Earbuds"/>
    <n v="3"/>
    <n v="9600"/>
    <s v="completed"/>
  </r>
  <r>
    <n v="1090"/>
    <x v="0"/>
    <x v="2"/>
    <x v="1"/>
    <n v="3200"/>
    <s v="Wireless Earbuds"/>
    <n v="3"/>
    <n v="9600"/>
    <s v="completed"/>
  </r>
  <r>
    <n v="1015"/>
    <x v="1"/>
    <x v="1"/>
    <x v="1"/>
    <n v="4500"/>
    <s v="Smart Watch"/>
    <n v="2"/>
    <n v="9000"/>
    <s v="completed"/>
  </r>
  <r>
    <n v="1049"/>
    <x v="2"/>
    <x v="3"/>
    <x v="1"/>
    <n v="4500"/>
    <s v="Smart Watch"/>
    <n v="2"/>
    <n v="9000"/>
    <s v="completed"/>
  </r>
  <r>
    <n v="1016"/>
    <x v="1"/>
    <x v="0"/>
    <x v="2"/>
    <n v="2500"/>
    <s v="Denim Jacket"/>
    <n v="3"/>
    <n v="7500"/>
    <s v="completed"/>
  </r>
  <r>
    <n v="1019"/>
    <x v="1"/>
    <x v="3"/>
    <x v="2"/>
    <n v="3600"/>
    <s v="Running Shoes"/>
    <n v="2"/>
    <n v="7200"/>
    <s v="completed"/>
  </r>
  <r>
    <n v="1034"/>
    <x v="2"/>
    <x v="0"/>
    <x v="2"/>
    <n v="3600"/>
    <s v="Running Shoes"/>
    <n v="2"/>
    <n v="7200"/>
    <s v="completed"/>
  </r>
  <r>
    <n v="1074"/>
    <x v="0"/>
    <x v="0"/>
    <x v="2"/>
    <n v="3600"/>
    <s v="Running Shoes"/>
    <n v="2"/>
    <n v="7200"/>
    <s v="completed"/>
  </r>
  <r>
    <n v="1086"/>
    <x v="0"/>
    <x v="3"/>
    <x v="2"/>
    <n v="3600"/>
    <s v="Running Shoes"/>
    <n v="2"/>
    <n v="7200"/>
    <s v="completed"/>
  </r>
  <r>
    <n v="1008"/>
    <x v="1"/>
    <x v="0"/>
    <x v="1"/>
    <n v="3200"/>
    <s v="Wireless Earbuds"/>
    <n v="2"/>
    <n v="6400"/>
    <s v="completed"/>
  </r>
  <r>
    <n v="1020"/>
    <x v="1"/>
    <x v="1"/>
    <x v="1"/>
    <n v="3200"/>
    <s v="Wireless Earbuds"/>
    <n v="2"/>
    <n v="6400"/>
    <s v="completed"/>
  </r>
  <r>
    <n v="1062"/>
    <x v="0"/>
    <x v="0"/>
    <x v="1"/>
    <n v="3200"/>
    <s v="Wireless Earbuds"/>
    <n v="2"/>
    <n v="6400"/>
    <s v="completed"/>
  </r>
  <r>
    <n v="1081"/>
    <x v="0"/>
    <x v="3"/>
    <x v="1"/>
    <n v="3200"/>
    <s v="Wireless Earbuds"/>
    <n v="2"/>
    <n v="6400"/>
    <s v="completed"/>
  </r>
  <r>
    <n v="1059"/>
    <x v="0"/>
    <x v="1"/>
    <x v="1"/>
    <n v="2800"/>
    <s v="Bluetooth Speaker"/>
    <n v="2"/>
    <n v="5600"/>
    <s v="completed"/>
  </r>
  <r>
    <n v="1053"/>
    <x v="2"/>
    <x v="1"/>
    <x v="0"/>
    <n v="5200"/>
    <s v="Air Fryer"/>
    <n v="1"/>
    <n v="5200"/>
    <s v="completed"/>
  </r>
  <r>
    <n v="1067"/>
    <x v="0"/>
    <x v="1"/>
    <x v="0"/>
    <n v="5200"/>
    <s v="Air Fryer"/>
    <n v="1"/>
    <n v="5200"/>
    <s v="completed"/>
  </r>
  <r>
    <n v="1029"/>
    <x v="2"/>
    <x v="2"/>
    <x v="2"/>
    <n v="2500"/>
    <s v="Denim Jacket"/>
    <n v="2"/>
    <n v="5000"/>
    <s v="completed"/>
  </r>
  <r>
    <n v="1030"/>
    <x v="2"/>
    <x v="1"/>
    <x v="2"/>
    <n v="2500"/>
    <s v="Denim Jacket"/>
    <n v="2"/>
    <n v="5000"/>
    <s v="completed"/>
  </r>
  <r>
    <n v="1014"/>
    <x v="1"/>
    <x v="2"/>
    <x v="1"/>
    <n v="4500"/>
    <s v="Smart Watch"/>
    <n v="1"/>
    <n v="4500"/>
    <s v="completed"/>
  </r>
  <r>
    <n v="1027"/>
    <x v="2"/>
    <x v="3"/>
    <x v="1"/>
    <n v="4500"/>
    <s v="Smart Watch"/>
    <n v="1"/>
    <n v="4500"/>
    <s v="completed"/>
  </r>
  <r>
    <n v="1055"/>
    <x v="2"/>
    <x v="1"/>
    <x v="1"/>
    <n v="4500"/>
    <s v="Smart Watch"/>
    <n v="1"/>
    <n v="4500"/>
    <s v="completed"/>
  </r>
  <r>
    <n v="1073"/>
    <x v="0"/>
    <x v="2"/>
    <x v="1"/>
    <n v="4500"/>
    <s v="Smart Watch"/>
    <n v="1"/>
    <n v="4500"/>
    <s v="completed"/>
  </r>
  <r>
    <n v="1087"/>
    <x v="0"/>
    <x v="3"/>
    <x v="1"/>
    <n v="4500"/>
    <s v="Smart Watch"/>
    <n v="1"/>
    <n v="4500"/>
    <s v="completed"/>
  </r>
  <r>
    <n v="1045"/>
    <x v="2"/>
    <x v="0"/>
    <x v="2"/>
    <n v="1400"/>
    <s v="Cotton Kurta"/>
    <n v="3"/>
    <n v="4200"/>
    <s v="completed"/>
  </r>
  <r>
    <n v="1018"/>
    <x v="1"/>
    <x v="3"/>
    <x v="0"/>
    <n v="1900"/>
    <s v="Bedsheet Set"/>
    <n v="2"/>
    <n v="3800"/>
    <s v="completed"/>
  </r>
  <r>
    <n v="1012"/>
    <x v="1"/>
    <x v="0"/>
    <x v="2"/>
    <n v="3600"/>
    <s v="Running Shoes"/>
    <n v="1"/>
    <n v="3600"/>
    <s v="completed"/>
  </r>
  <r>
    <n v="1023"/>
    <x v="1"/>
    <x v="3"/>
    <x v="2"/>
    <n v="3600"/>
    <s v="Running Shoes"/>
    <n v="1"/>
    <n v="3600"/>
    <s v="completed"/>
  </r>
  <r>
    <n v="1050"/>
    <x v="2"/>
    <x v="0"/>
    <x v="2"/>
    <n v="3600"/>
    <s v="Running Shoes"/>
    <n v="1"/>
    <n v="3600"/>
    <s v="completed"/>
  </r>
  <r>
    <n v="1084"/>
    <x v="0"/>
    <x v="1"/>
    <x v="2"/>
    <n v="3600"/>
    <s v="Running Shoes"/>
    <n v="1"/>
    <n v="3600"/>
    <s v="completed"/>
  </r>
  <r>
    <n v="1017"/>
    <x v="1"/>
    <x v="3"/>
    <x v="1"/>
    <n v="3200"/>
    <s v="Wireless Earbuds"/>
    <n v="1"/>
    <n v="3200"/>
    <s v="completed"/>
  </r>
  <r>
    <n v="1028"/>
    <x v="2"/>
    <x v="1"/>
    <x v="1"/>
    <n v="3200"/>
    <s v="Wireless Earbuds"/>
    <n v="1"/>
    <n v="3200"/>
    <s v="completed"/>
  </r>
  <r>
    <n v="1066"/>
    <x v="0"/>
    <x v="3"/>
    <x v="1"/>
    <n v="3200"/>
    <s v="Wireless Earbuds"/>
    <n v="1"/>
    <n v="3200"/>
    <s v="completed"/>
  </r>
  <r>
    <n v="1085"/>
    <x v="0"/>
    <x v="3"/>
    <x v="1"/>
    <n v="3200"/>
    <s v="Wireless Earbuds"/>
    <n v="1"/>
    <n v="3200"/>
    <s v="completed"/>
  </r>
  <r>
    <n v="1088"/>
    <x v="0"/>
    <x v="0"/>
    <x v="1"/>
    <n v="3200"/>
    <s v="Wireless Earbuds"/>
    <n v="1"/>
    <n v="3200"/>
    <s v="completed"/>
  </r>
  <r>
    <n v="1038"/>
    <x v="2"/>
    <x v="2"/>
    <x v="2"/>
    <n v="1400"/>
    <s v="Cotton Kurta"/>
    <n v="2"/>
    <n v="2800"/>
    <s v="completed"/>
  </r>
  <r>
    <n v="1041"/>
    <x v="2"/>
    <x v="0"/>
    <x v="1"/>
    <n v="2800"/>
    <s v="Bluetooth Speaker"/>
    <n v="1"/>
    <n v="2800"/>
    <s v="completed"/>
  </r>
  <r>
    <n v="1043"/>
    <x v="2"/>
    <x v="3"/>
    <x v="1"/>
    <n v="2800"/>
    <s v="Bluetooth Speaker"/>
    <n v="1"/>
    <n v="2800"/>
    <s v="completed"/>
  </r>
  <r>
    <n v="1051"/>
    <x v="2"/>
    <x v="0"/>
    <x v="2"/>
    <n v="1400"/>
    <s v="Cotton Kurta"/>
    <n v="2"/>
    <n v="2800"/>
    <s v="completed"/>
  </r>
  <r>
    <n v="1076"/>
    <x v="0"/>
    <x v="2"/>
    <x v="2"/>
    <n v="1400"/>
    <s v="Cotton Kurta"/>
    <n v="2"/>
    <n v="2800"/>
    <s v="completed"/>
  </r>
  <r>
    <n v="1080"/>
    <x v="0"/>
    <x v="2"/>
    <x v="1"/>
    <n v="2800"/>
    <s v="Bluetooth Speaker"/>
    <n v="1"/>
    <n v="2800"/>
    <s v="completed"/>
  </r>
  <r>
    <n v="1032"/>
    <x v="2"/>
    <x v="2"/>
    <x v="0"/>
    <n v="1100"/>
    <s v="Table Lamp"/>
    <n v="2"/>
    <n v="2200"/>
    <s v="completed"/>
  </r>
  <r>
    <n v="1039"/>
    <x v="2"/>
    <x v="2"/>
    <x v="0"/>
    <n v="1100"/>
    <s v="Table Lamp"/>
    <n v="2"/>
    <n v="2200"/>
    <s v="completed"/>
  </r>
  <r>
    <n v="1070"/>
    <x v="0"/>
    <x v="1"/>
    <x v="0"/>
    <n v="1100"/>
    <s v="Table Lamp"/>
    <n v="2"/>
    <n v="2200"/>
    <s v="completed"/>
  </r>
  <r>
    <n v="1007"/>
    <x v="1"/>
    <x v="1"/>
    <x v="0"/>
    <n v="1900"/>
    <s v="Bedsheet Set"/>
    <n v="1"/>
    <n v="1900"/>
    <s v="completed"/>
  </r>
  <r>
    <n v="1009"/>
    <x v="1"/>
    <x v="2"/>
    <x v="0"/>
    <n v="1900"/>
    <s v="Bedsheet Set"/>
    <n v="1"/>
    <n v="1900"/>
    <s v="completed"/>
  </r>
  <r>
    <n v="1046"/>
    <x v="2"/>
    <x v="3"/>
    <x v="0"/>
    <n v="1900"/>
    <s v="Bedsheet Set"/>
    <n v="1"/>
    <n v="1900"/>
    <s v="completed"/>
  </r>
  <r>
    <n v="1072"/>
    <x v="0"/>
    <x v="0"/>
    <x v="0"/>
    <n v="1900"/>
    <s v="Bedsheet Set"/>
    <n v="1"/>
    <n v="1900"/>
    <s v="completed"/>
  </r>
  <r>
    <n v="1024"/>
    <x v="1"/>
    <x v="1"/>
    <x v="2"/>
    <n v="1400"/>
    <s v="Cotton Kurta"/>
    <n v="1"/>
    <n v="1400"/>
    <s v="completed"/>
  </r>
  <r>
    <n v="1026"/>
    <x v="1"/>
    <x v="3"/>
    <x v="2"/>
    <n v="1400"/>
    <s v="Cotton Kurta"/>
    <n v="1"/>
    <n v="1400"/>
    <s v="completed"/>
  </r>
  <r>
    <n v="1079"/>
    <x v="0"/>
    <x v="0"/>
    <x v="2"/>
    <n v="1400"/>
    <s v="Cotton Kurta"/>
    <n v="1"/>
    <n v="1400"/>
    <s v="completed"/>
  </r>
  <r>
    <n v="1005"/>
    <x v="1"/>
    <x v="1"/>
    <x v="0"/>
    <n v="1100"/>
    <s v="Table Lamp"/>
    <n v="1"/>
    <n v="1100"/>
    <s v="completed"/>
  </r>
  <r>
    <n v="1025"/>
    <x v="1"/>
    <x v="0"/>
    <x v="0"/>
    <n v="1100"/>
    <s v="Table Lamp"/>
    <n v="1"/>
    <n v="1100"/>
    <s v="completed"/>
  </r>
  <r>
    <n v="1048"/>
    <x v="2"/>
    <x v="1"/>
    <x v="0"/>
    <n v="1100"/>
    <s v="Table Lamp"/>
    <n v="1"/>
    <n v="1100"/>
    <s v="completed"/>
  </r>
  <r>
    <n v="1089"/>
    <x v="0"/>
    <x v="1"/>
    <x v="0"/>
    <n v="1100"/>
    <s v="Table Lamp"/>
    <n v="1"/>
    <n v="1100"/>
    <s v="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82868-0FEF-4702-A556-F4B64C6612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_Month">
  <location ref="H3:J7" firstHeaderRow="0" firstDataRow="1" firstDataCol="1"/>
  <pivotFields count="11">
    <pivotField dataField="1" showAll="0"/>
    <pivotField axis="axisRow" numFmtId="14" showAll="0">
      <items count="4">
        <item x="1"/>
        <item x="2"/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1"/>
  </rowFields>
  <rowItems count="4"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7" baseField="0" baseItem="0"/>
    <dataField name="Count of order_id" fld="0" subtotal="count" baseField="10" baseItem="9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2" type="button" dataOnly="0" labelOnly="1" outline="0"/>
    </format>
    <format dxfId="11">
      <pivotArea type="topRight" dataOnly="0" labelOnly="1" outline="0" fieldPosition="0"/>
    </format>
    <format dxfId="10">
      <pivotArea field="3" type="button" dataOnly="0" labelOnly="1" outline="0"/>
    </format>
    <format dxfId="9">
      <pivotArea dataOnly="0" labelOnly="1" grandRow="1" outline="0" fieldPosition="0"/>
    </format>
    <format dxfId="8">
      <pivotArea dataOnly="0" labelOnly="1" grandCol="1" outline="0" fieldPosition="0"/>
    </format>
    <format dxfId="7">
      <pivotArea outline="0" collapsedLevelsAreSubtotals="1" fieldPosition="0"/>
    </format>
    <format dxfId="6">
      <pivotArea dataOnly="0" labelOnly="1" grandCol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0" type="button" dataOnly="0" labelOnly="1" outline="0" axis="axisRow" fieldPosition="0"/>
    </format>
    <format dxfId="2">
      <pivotArea dataOnly="0" labelOnly="1" fieldPosition="0">
        <references count="1">
          <reference field="10" count="3">
            <x v="9"/>
            <x v="10"/>
            <x v="11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BC01D-DAD4-4823-BE91-6B49A563F5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 colHeaderCaption="Region">
  <location ref="A3:F8" firstHeaderRow="1" firstDataRow="2" firstDataCol="1"/>
  <pivotFields count="11">
    <pivotField showAll="0"/>
    <pivotField numFmtId="14" showAll="0">
      <items count="4">
        <item x="1"/>
        <item x="2"/>
        <item x="0"/>
        <item t="default"/>
      </items>
    </pivotField>
    <pivotField axis="axisCol" showAll="0">
      <items count="5">
        <item x="2"/>
        <item x="3"/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7" baseField="0" baseItem="0"/>
  </dataFields>
  <formats count="23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2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2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3" type="button" dataOnly="0" labelOnly="1" outline="0" axis="axisRow" fieldPosition="0"/>
    </format>
    <format dxfId="19">
      <pivotArea dataOnly="0" labelOnly="1" fieldPosition="0">
        <references count="1">
          <reference field="3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AC5FA0-971D-4F36-B67B-525CB963C7C6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order_id" tableColumnId="1"/>
      <queryTableField id="2" name="order_month" tableColumnId="2"/>
      <queryTableField id="3" name="first_name" tableColumnId="3"/>
      <queryTableField id="14" dataBound="0" tableColumnId="14"/>
      <queryTableField id="13" dataBound="0" tableColumnId="13"/>
      <queryTableField id="4" name="last_name" tableColumnId="4"/>
      <queryTableField id="5" name="region" tableColumnId="5"/>
      <queryTableField id="6" name="rep_name" tableColumnId="6"/>
      <queryTableField id="7" name="category" tableColumnId="7"/>
      <queryTableField id="15" dataBound="0" tableColumnId="15"/>
      <queryTableField id="8" name="unit_price" tableColumnId="8"/>
      <queryTableField id="9" name="item" tableColumnId="9"/>
      <queryTableField id="10" name="quantity" tableColumnId="10"/>
      <queryTableField id="16" dataBound="0" tableColumnId="16"/>
      <queryTableField id="11" name="amount" tableColumnId="11"/>
      <queryTableField id="12" name="status" tableColumnId="12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6F71D-281E-4AD1-9F5D-D86727F09FDE}" name="dataorders_enriched_csv_1" displayName="dataorders_enriched_csv_1" ref="A1:Q91" tableType="queryTable" totalsRowShown="0" headerRowDxfId="56">
  <autoFilter ref="A1:Q91" xr:uid="{C216F71D-281E-4AD1-9F5D-D86727F09FDE}">
    <filterColumn colId="15">
      <filters>
        <filter val="completed"/>
      </filters>
    </filterColumn>
  </autoFilter>
  <sortState xmlns:xlrd2="http://schemas.microsoft.com/office/spreadsheetml/2017/richdata2" ref="A6:Q91">
    <sortCondition descending="1" ref="N1:N91"/>
  </sortState>
  <tableColumns count="17">
    <tableColumn id="1" xr3:uid="{690F05A1-AA17-4562-AC06-736852179841}" uniqueName="1" name="order_id" queryTableFieldId="1" dataDxfId="55"/>
    <tableColumn id="2" xr3:uid="{6F7E70A1-F2DD-4153-BB50-368BC8E6A3BF}" uniqueName="2" name="order_month" queryTableFieldId="2" dataDxfId="54"/>
    <tableColumn id="3" xr3:uid="{3DC1CAEE-CDF3-49C1-AAD3-F8365C8D1983}" uniqueName="3" name="first_name" queryTableFieldId="3" dataDxfId="53"/>
    <tableColumn id="14" xr3:uid="{8B870D69-664A-46D0-BAB1-84CE6C9CF750}" uniqueName="14" name="Clean_first name" queryTableFieldId="14" dataDxfId="52">
      <calculatedColumnFormula>PROPER(TRIM(dataorders_enriched_csv_1[[#This Row],[first_name]]))</calculatedColumnFormula>
    </tableColumn>
    <tableColumn id="13" xr3:uid="{805EF721-02C4-4F38-AE61-5AC70BE5CDDB}" uniqueName="13" name="Clean_last_name" queryTableFieldId="13" dataDxfId="51">
      <calculatedColumnFormula>PROPER(TRIM(dataorders_enriched_csv_1[[#This Row],[last_name]]))</calculatedColumnFormula>
    </tableColumn>
    <tableColumn id="4" xr3:uid="{D020B88B-41D4-4CAA-A205-4E7DE21FB1BC}" uniqueName="4" name="last_name" queryTableFieldId="4" dataDxfId="50"/>
    <tableColumn id="5" xr3:uid="{D47EA646-33FE-4E6E-99F6-0A6E44B375C6}" uniqueName="5" name="region" queryTableFieldId="5" dataDxfId="49"/>
    <tableColumn id="6" xr3:uid="{11A52C50-72B0-43C8-B2B9-D340A87A07C7}" uniqueName="6" name="rep_name" queryTableFieldId="6" dataDxfId="48"/>
    <tableColumn id="7" xr3:uid="{1FA3BBBE-996E-45EF-8AAF-04E2F25BBEF4}" uniqueName="7" name="category" queryTableFieldId="7" dataDxfId="47"/>
    <tableColumn id="15" xr3:uid="{45CAAC73-C1D6-488C-8379-477DD4F8FBCA}" uniqueName="15" name="Unit-price" queryTableFieldId="15" dataDxfId="46">
      <calculatedColumnFormula>VALUE(TRIM(CLEAN(K2)))</calculatedColumnFormula>
    </tableColumn>
    <tableColumn id="8" xr3:uid="{E4727A42-C181-4268-9084-05F0BE77AAD1}" uniqueName="8" name="unit_price" queryTableFieldId="8" dataDxfId="45"/>
    <tableColumn id="9" xr3:uid="{ED0A42D5-9F16-47A3-B61F-633AD222D5A8}" uniqueName="9" name="item" queryTableFieldId="9" dataDxfId="44"/>
    <tableColumn id="10" xr3:uid="{6E29A938-991B-4462-9F53-0F681B2522A3}" uniqueName="10" name="quantity" queryTableFieldId="10" dataDxfId="43"/>
    <tableColumn id="16" xr3:uid="{D1FD38D6-B086-4A0A-A836-6010CAFB8A38}" uniqueName="16" name="Amount" queryTableFieldId="16" dataDxfId="42">
      <calculatedColumnFormula>VALUE(TRIM(CLEAN(O2)))</calculatedColumnFormula>
    </tableColumn>
    <tableColumn id="11" xr3:uid="{EC80CBD2-6049-48AB-BE7A-9C76E5BCC857}" uniqueName="11" name="amount2" queryTableFieldId="11" dataDxfId="41"/>
    <tableColumn id="12" xr3:uid="{D2B91899-7248-4AF9-B752-B5772E5483D7}" uniqueName="12" name="status" queryTableFieldId="12" dataDxfId="40"/>
    <tableColumn id="17" xr3:uid="{70FAAB65-4D06-45F7-BB29-7249CB75F614}" uniqueName="17" name="Revenue" queryTableFieldId="17" dataDxfId="39">
      <calculatedColumnFormula>dataorders_enriched_csv_1[[#This Row],[Unit-price]]*dataorders_enriched_csv_1[[#This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7482-D668-4272-8013-9259A787E324}">
  <dimension ref="A1:Y91"/>
  <sheetViews>
    <sheetView workbookViewId="0">
      <selection sqref="A1:Q1048576"/>
    </sheetView>
  </sheetViews>
  <sheetFormatPr defaultRowHeight="14.4" x14ac:dyDescent="0.3"/>
  <cols>
    <col min="1" max="1" width="10.33203125" style="1" bestFit="1" customWidth="1"/>
    <col min="2" max="2" width="14.44140625" style="1" bestFit="1" customWidth="1"/>
    <col min="3" max="3" width="12.21875" style="1" bestFit="1" customWidth="1"/>
    <col min="4" max="4" width="17.44140625" style="1" customWidth="1"/>
    <col min="5" max="5" width="17.44140625" style="1" bestFit="1" customWidth="1"/>
    <col min="6" max="6" width="11.88671875" style="1" customWidth="1"/>
    <col min="7" max="7" width="8.5546875" style="1" bestFit="1" customWidth="1"/>
    <col min="8" max="8" width="12.21875" style="1" bestFit="1" customWidth="1"/>
    <col min="9" max="9" width="10.5546875" style="1" bestFit="1" customWidth="1"/>
    <col min="10" max="10" width="10.5546875" style="1" customWidth="1"/>
    <col min="11" max="11" width="11.6640625" style="1" customWidth="1"/>
    <col min="12" max="12" width="16.109375" style="1" bestFit="1" customWidth="1"/>
    <col min="13" max="13" width="10.33203125" style="1" bestFit="1" customWidth="1"/>
    <col min="14" max="14" width="10.33203125" style="1" customWidth="1"/>
    <col min="15" max="15" width="9.88671875" style="1" hidden="1" customWidth="1"/>
    <col min="16" max="16" width="9.6640625" style="1" bestFit="1" customWidth="1"/>
    <col min="17" max="17" width="8.88671875" style="1"/>
    <col min="19" max="19" width="9.88671875" bestFit="1" customWidth="1"/>
    <col min="20" max="20" width="14.88671875" bestFit="1" customWidth="1"/>
    <col min="21" max="21" width="14.88671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101</v>
      </c>
      <c r="K1" s="1" t="s">
        <v>7</v>
      </c>
      <c r="L1" s="1" t="s">
        <v>8</v>
      </c>
      <c r="M1" s="1" t="s">
        <v>9</v>
      </c>
      <c r="N1" s="1" t="s">
        <v>102</v>
      </c>
      <c r="O1" s="1" t="s">
        <v>103</v>
      </c>
      <c r="P1" s="1" t="s">
        <v>11</v>
      </c>
      <c r="Q1" s="5" t="s">
        <v>104</v>
      </c>
      <c r="S1" s="26" t="s">
        <v>105</v>
      </c>
      <c r="T1" s="26"/>
      <c r="U1" s="9"/>
    </row>
    <row r="2" spans="1:25" hidden="1" x14ac:dyDescent="0.3">
      <c r="A2" s="1">
        <v>1001</v>
      </c>
      <c r="B2" s="2">
        <v>46266</v>
      </c>
      <c r="C2" s="1" t="s">
        <v>60</v>
      </c>
      <c r="D2" s="1" t="str">
        <f>PROPER(TRIM(dataorders_enriched_csv_1[[#This Row],[first_name]]))</f>
        <v>Meera</v>
      </c>
      <c r="E2" s="1" t="str">
        <f>PROPER(TRIM(dataorders_enriched_csv_1[[#This Row],[last_name]]))</f>
        <v>Patil</v>
      </c>
      <c r="F2" s="1" t="s">
        <v>61</v>
      </c>
      <c r="G2" s="1" t="s">
        <v>40</v>
      </c>
      <c r="H2" s="1" t="s">
        <v>41</v>
      </c>
      <c r="I2" s="1" t="s">
        <v>68</v>
      </c>
      <c r="J2" s="1">
        <f t="shared" ref="J2:J33" si="0">VALUE(TRIM(CLEAN(K2)))</f>
        <v>2800</v>
      </c>
      <c r="K2" s="1">
        <v>2800</v>
      </c>
      <c r="L2" s="1" t="s">
        <v>69</v>
      </c>
      <c r="M2" s="1">
        <v>2</v>
      </c>
      <c r="N2" s="1" t="e">
        <f t="shared" ref="N2:N33" si="1">VALUE(TRIM(CLEAN(O2)))</f>
        <v>#VALUE!</v>
      </c>
      <c r="O2" s="1" t="s">
        <v>70</v>
      </c>
      <c r="P2" s="1" t="s">
        <v>19</v>
      </c>
      <c r="Q2" s="3">
        <f>dataorders_enriched_csv_1[[#This Row],[Unit-price]]*dataorders_enriched_csv_1[[#This Row],[quantity]]</f>
        <v>5600</v>
      </c>
      <c r="S2" s="6" t="s">
        <v>0</v>
      </c>
      <c r="T2" s="6" t="s">
        <v>108</v>
      </c>
      <c r="U2" s="10" t="s">
        <v>109</v>
      </c>
      <c r="V2" s="10" t="s">
        <v>8</v>
      </c>
      <c r="W2" s="10" t="s">
        <v>9</v>
      </c>
      <c r="X2" s="10" t="s">
        <v>10</v>
      </c>
      <c r="Y2" s="10" t="s">
        <v>11</v>
      </c>
    </row>
    <row r="3" spans="1:25" hidden="1" x14ac:dyDescent="0.3">
      <c r="A3" s="1">
        <v>1002</v>
      </c>
      <c r="B3" s="2">
        <v>46266</v>
      </c>
      <c r="C3" s="1" t="s">
        <v>62</v>
      </c>
      <c r="D3" s="1" t="str">
        <f>PROPER(TRIM(dataorders_enriched_csv_1[[#This Row],[first_name]]))</f>
        <v>Nisha</v>
      </c>
      <c r="E3" s="1" t="str">
        <f>PROPER(TRIM(dataorders_enriched_csv_1[[#This Row],[last_name]]))</f>
        <v>Mishra</v>
      </c>
      <c r="F3" s="1" t="s">
        <v>63</v>
      </c>
      <c r="G3" s="1" t="s">
        <v>22</v>
      </c>
      <c r="H3" s="1" t="s">
        <v>23</v>
      </c>
      <c r="I3" s="1" t="s">
        <v>68</v>
      </c>
      <c r="J3" s="1">
        <f t="shared" si="0"/>
        <v>4500</v>
      </c>
      <c r="K3" s="1">
        <v>4500</v>
      </c>
      <c r="L3" s="1" t="s">
        <v>71</v>
      </c>
      <c r="M3" s="1">
        <v>1</v>
      </c>
      <c r="N3" s="1">
        <f t="shared" si="1"/>
        <v>4500</v>
      </c>
      <c r="O3" s="1" t="s">
        <v>72</v>
      </c>
      <c r="P3" s="1" t="s">
        <v>19</v>
      </c>
      <c r="Q3" s="1">
        <f>dataorders_enriched_csv_1[[#This Row],[Unit-price]]*dataorders_enriched_csv_1[[#This Row],[quantity]]</f>
        <v>4500</v>
      </c>
      <c r="S3" s="1">
        <v>1001</v>
      </c>
      <c r="T3" s="1" t="e">
        <f>VLOOKUP(S3,[1]!dataorders_enriched_csv[#All],7,FALSE)</f>
        <v>#REF!</v>
      </c>
      <c r="U3" s="1" t="e">
        <f>VLOOKUP(S3,[1]!dataorders_enriched_csv[#All],8,FALSE)</f>
        <v>#REF!</v>
      </c>
      <c r="V3" s="1" t="e">
        <f>VLOOKUP(S3,[1]!dataorders_enriched_csv[#All],9,FALSE)</f>
        <v>#REF!</v>
      </c>
      <c r="W3" s="1" t="e">
        <f>VLOOKUP(S3,[1]!dataorders_enriched_csv[#All],10,FALSE)</f>
        <v>#REF!</v>
      </c>
      <c r="X3" s="1" t="e">
        <f>VLOOKUP(S3,[1]!dataorders_enriched_csv[#All],11,FALSE)</f>
        <v>#REF!</v>
      </c>
      <c r="Y3" s="1" t="e">
        <f>VLOOKUP(S3,[1]!dataorders_enriched_csv[#All],12,FALSE)</f>
        <v>#REF!</v>
      </c>
    </row>
    <row r="4" spans="1:25" hidden="1" x14ac:dyDescent="0.3">
      <c r="A4" s="1">
        <v>1003</v>
      </c>
      <c r="B4" s="2">
        <v>46266</v>
      </c>
      <c r="C4" s="1" t="s">
        <v>46</v>
      </c>
      <c r="D4" s="1" t="str">
        <f>PROPER(TRIM(dataorders_enriched_csv_1[[#This Row],[first_name]]))</f>
        <v>Lakshmi</v>
      </c>
      <c r="E4" s="1" t="str">
        <f>PROPER(TRIM(dataorders_enriched_csv_1[[#This Row],[last_name]]))</f>
        <v>Kapoor</v>
      </c>
      <c r="F4" s="1" t="s">
        <v>47</v>
      </c>
      <c r="G4" s="1" t="s">
        <v>40</v>
      </c>
      <c r="H4" s="1" t="s">
        <v>41</v>
      </c>
      <c r="I4" s="1" t="s">
        <v>88</v>
      </c>
      <c r="J4" s="1">
        <f t="shared" si="0"/>
        <v>5200</v>
      </c>
      <c r="K4" s="1">
        <v>5200</v>
      </c>
      <c r="L4" s="1" t="s">
        <v>89</v>
      </c>
      <c r="M4" s="1">
        <v>2</v>
      </c>
      <c r="N4" s="1">
        <f t="shared" si="1"/>
        <v>10400</v>
      </c>
      <c r="O4" s="1" t="s">
        <v>90</v>
      </c>
      <c r="P4" s="1" t="s">
        <v>50</v>
      </c>
      <c r="Q4" s="1">
        <f>dataorders_enriched_csv_1[[#This Row],[Unit-price]]*dataorders_enriched_csv_1[[#This Row],[quantity]]</f>
        <v>10400</v>
      </c>
    </row>
    <row r="5" spans="1:25" hidden="1" x14ac:dyDescent="0.3">
      <c r="A5" s="1">
        <v>1004</v>
      </c>
      <c r="B5" s="2">
        <v>46266</v>
      </c>
      <c r="C5" s="1" t="s">
        <v>12</v>
      </c>
      <c r="D5" s="1" t="str">
        <f>PROPER(TRIM(dataorders_enriched_csv_1[[#This Row],[first_name]]))</f>
        <v>Gaurav</v>
      </c>
      <c r="E5" s="1" t="str">
        <f>PROPER(TRIM(dataorders_enriched_csv_1[[#This Row],[last_name]]))</f>
        <v>Yadav</v>
      </c>
      <c r="F5" s="1" t="s">
        <v>13</v>
      </c>
      <c r="G5" s="1" t="s">
        <v>14</v>
      </c>
      <c r="H5" s="1" t="s">
        <v>15</v>
      </c>
      <c r="I5" s="1" t="s">
        <v>16</v>
      </c>
      <c r="J5" s="1">
        <f t="shared" si="0"/>
        <v>1400</v>
      </c>
      <c r="K5" s="1">
        <v>1400</v>
      </c>
      <c r="L5" s="1" t="s">
        <v>17</v>
      </c>
      <c r="M5" s="1">
        <v>2</v>
      </c>
      <c r="N5" s="1">
        <f t="shared" si="1"/>
        <v>2800</v>
      </c>
      <c r="O5" s="1" t="s">
        <v>18</v>
      </c>
      <c r="P5" s="1" t="s">
        <v>19</v>
      </c>
      <c r="Q5" s="1">
        <f>dataorders_enriched_csv_1[[#This Row],[Unit-price]]*dataorders_enriched_csv_1[[#This Row],[quantity]]</f>
        <v>2800</v>
      </c>
    </row>
    <row r="6" spans="1:25" x14ac:dyDescent="0.3">
      <c r="A6" s="1">
        <v>1061</v>
      </c>
      <c r="B6" s="2">
        <v>46327</v>
      </c>
      <c r="C6" s="1" t="s">
        <v>62</v>
      </c>
      <c r="D6" s="1" t="str">
        <f>PROPER(TRIM(dataorders_enriched_csv_1[[#This Row],[first_name]]))</f>
        <v>Nisha</v>
      </c>
      <c r="E6" s="1" t="str">
        <f>PROPER(TRIM(dataorders_enriched_csv_1[[#This Row],[last_name]]))</f>
        <v>Mishra</v>
      </c>
      <c r="F6" s="1" t="s">
        <v>63</v>
      </c>
      <c r="G6" s="1" t="s">
        <v>22</v>
      </c>
      <c r="H6" s="1" t="s">
        <v>23</v>
      </c>
      <c r="I6" s="1" t="s">
        <v>88</v>
      </c>
      <c r="J6" s="1">
        <f t="shared" si="0"/>
        <v>5200</v>
      </c>
      <c r="K6" s="1">
        <v>5200</v>
      </c>
      <c r="L6" s="1" t="s">
        <v>89</v>
      </c>
      <c r="M6" s="1">
        <v>3</v>
      </c>
      <c r="N6" s="1">
        <f t="shared" si="1"/>
        <v>15600</v>
      </c>
      <c r="O6" s="1" t="s">
        <v>95</v>
      </c>
      <c r="P6" s="1" t="s">
        <v>26</v>
      </c>
      <c r="Q6" s="1">
        <f>dataorders_enriched_csv_1[[#This Row],[Unit-price]]*dataorders_enriched_csv_1[[#This Row],[quantity]]</f>
        <v>15600</v>
      </c>
    </row>
    <row r="7" spans="1:25" x14ac:dyDescent="0.3">
      <c r="A7" s="1">
        <v>1065</v>
      </c>
      <c r="B7" s="2">
        <v>46327</v>
      </c>
      <c r="C7" s="1" t="s">
        <v>56</v>
      </c>
      <c r="D7" s="1" t="str">
        <f>PROPER(TRIM(dataorders_enriched_csv_1[[#This Row],[first_name]]))</f>
        <v>Tanvi</v>
      </c>
      <c r="E7" s="1" t="str">
        <f>PROPER(TRIM(dataorders_enriched_csv_1[[#This Row],[last_name]]))</f>
        <v>Thakur</v>
      </c>
      <c r="F7" s="1" t="s">
        <v>57</v>
      </c>
      <c r="G7" s="1" t="s">
        <v>40</v>
      </c>
      <c r="H7" s="1" t="s">
        <v>41</v>
      </c>
      <c r="I7" s="1" t="s">
        <v>88</v>
      </c>
      <c r="J7" s="1">
        <f t="shared" si="0"/>
        <v>5200</v>
      </c>
      <c r="K7" s="1">
        <v>5200</v>
      </c>
      <c r="L7" s="1" t="s">
        <v>89</v>
      </c>
      <c r="M7" s="1">
        <v>3</v>
      </c>
      <c r="N7" s="1">
        <f t="shared" si="1"/>
        <v>15600</v>
      </c>
      <c r="O7" s="1" t="s">
        <v>95</v>
      </c>
      <c r="P7" s="1" t="s">
        <v>26</v>
      </c>
      <c r="Q7" s="1">
        <f>dataorders_enriched_csv_1[[#This Row],[Unit-price]]*dataorders_enriched_csv_1[[#This Row],[quantity]]</f>
        <v>15600</v>
      </c>
      <c r="S7" s="26" t="s">
        <v>106</v>
      </c>
      <c r="T7" s="26"/>
      <c r="U7" s="9"/>
    </row>
    <row r="8" spans="1:25" x14ac:dyDescent="0.3">
      <c r="A8" s="1">
        <v>1069</v>
      </c>
      <c r="B8" s="2">
        <v>46327</v>
      </c>
      <c r="C8" s="1" t="s">
        <v>136</v>
      </c>
      <c r="D8" s="1" t="str">
        <f>PROPER(TRIM(dataorders_enriched_csv_1[[#This Row],[first_name]]))</f>
        <v>Aditya</v>
      </c>
      <c r="E8" s="1" t="str">
        <f>PROPER(TRIM(dataorders_enriched_csv_1[[#This Row],[last_name]]))</f>
        <v>Rao</v>
      </c>
      <c r="F8" s="1" t="s">
        <v>44</v>
      </c>
      <c r="G8" s="1" t="s">
        <v>14</v>
      </c>
      <c r="H8" s="1" t="s">
        <v>15</v>
      </c>
      <c r="I8" s="1" t="s">
        <v>88</v>
      </c>
      <c r="J8" s="1">
        <f t="shared" si="0"/>
        <v>5200</v>
      </c>
      <c r="K8" s="1">
        <v>5200</v>
      </c>
      <c r="L8" s="1" t="s">
        <v>89</v>
      </c>
      <c r="M8" s="1">
        <v>3</v>
      </c>
      <c r="N8" s="1">
        <f t="shared" si="1"/>
        <v>15600</v>
      </c>
      <c r="O8" s="1" t="s">
        <v>95</v>
      </c>
      <c r="P8" s="1" t="s">
        <v>26</v>
      </c>
      <c r="Q8" s="1">
        <f>dataorders_enriched_csv_1[[#This Row],[Unit-price]]*dataorders_enriched_csv_1[[#This Row],[quantity]]</f>
        <v>15600</v>
      </c>
      <c r="S8" s="6" t="s">
        <v>0</v>
      </c>
      <c r="T8" s="6" t="s">
        <v>109</v>
      </c>
      <c r="U8" s="10"/>
    </row>
    <row r="9" spans="1:25" x14ac:dyDescent="0.3">
      <c r="A9" s="1">
        <v>1077</v>
      </c>
      <c r="B9" s="2">
        <v>46327</v>
      </c>
      <c r="C9" s="1" t="s">
        <v>137</v>
      </c>
      <c r="D9" s="1" t="str">
        <f>PROPER(TRIM(dataorders_enriched_csv_1[[#This Row],[first_name]]))</f>
        <v>Rahul</v>
      </c>
      <c r="E9" s="1" t="str">
        <f>PROPER(TRIM(dataorders_enriched_csv_1[[#This Row],[last_name]]))</f>
        <v>Verma</v>
      </c>
      <c r="F9" s="1" t="s">
        <v>59</v>
      </c>
      <c r="G9" s="1" t="s">
        <v>14</v>
      </c>
      <c r="H9" s="1" t="s">
        <v>15</v>
      </c>
      <c r="I9" s="1" t="s">
        <v>88</v>
      </c>
      <c r="J9" s="1">
        <f t="shared" si="0"/>
        <v>5200</v>
      </c>
      <c r="K9" s="1">
        <v>5200</v>
      </c>
      <c r="L9" s="1" t="s">
        <v>89</v>
      </c>
      <c r="M9" s="1">
        <v>3</v>
      </c>
      <c r="N9" s="1">
        <f t="shared" si="1"/>
        <v>15600</v>
      </c>
      <c r="O9" s="1" t="s">
        <v>95</v>
      </c>
      <c r="P9" s="1" t="s">
        <v>26</v>
      </c>
      <c r="Q9" s="1">
        <f>dataorders_enriched_csv_1[[#This Row],[Unit-price]]*dataorders_enriched_csv_1[[#This Row],[quantity]]</f>
        <v>15600</v>
      </c>
      <c r="S9" s="7">
        <v>1001</v>
      </c>
      <c r="T9" s="7">
        <f>_xlfn.XLOOKUP(S9,dataorders_enriched_csv_1[order_id],dataorders_enriched_csv_1[Unit-price])</f>
        <v>2800</v>
      </c>
      <c r="U9" s="9"/>
    </row>
    <row r="10" spans="1:25" x14ac:dyDescent="0.3">
      <c r="A10" s="1">
        <v>1006</v>
      </c>
      <c r="B10" s="2">
        <v>46266</v>
      </c>
      <c r="C10" s="1" t="s">
        <v>138</v>
      </c>
      <c r="D10" s="1" t="str">
        <f>PROPER(TRIM(dataorders_enriched_csv_1[[#This Row],[first_name]]))</f>
        <v>Vikram</v>
      </c>
      <c r="E10" s="1" t="str">
        <f>PROPER(TRIM(dataorders_enriched_csv_1[[#This Row],[last_name]]))</f>
        <v>Singh</v>
      </c>
      <c r="F10" s="1" t="s">
        <v>32</v>
      </c>
      <c r="G10" s="1" t="s">
        <v>33</v>
      </c>
      <c r="H10" s="1" t="s">
        <v>34</v>
      </c>
      <c r="I10" s="1" t="s">
        <v>68</v>
      </c>
      <c r="J10" s="1">
        <f t="shared" si="0"/>
        <v>4500</v>
      </c>
      <c r="K10" s="1">
        <v>4500</v>
      </c>
      <c r="L10" s="1" t="s">
        <v>71</v>
      </c>
      <c r="M10" s="1">
        <v>3</v>
      </c>
      <c r="N10" s="1">
        <f t="shared" si="1"/>
        <v>13500</v>
      </c>
      <c r="O10" s="1" t="s">
        <v>73</v>
      </c>
      <c r="P10" s="1" t="s">
        <v>26</v>
      </c>
      <c r="Q10" s="1">
        <f>dataorders_enriched_csv_1[[#This Row],[Unit-price]]*dataorders_enriched_csv_1[[#This Row],[quantity]]</f>
        <v>13500</v>
      </c>
    </row>
    <row r="11" spans="1:25" hidden="1" x14ac:dyDescent="0.3">
      <c r="A11" s="1">
        <v>1010</v>
      </c>
      <c r="B11" s="2">
        <v>46266</v>
      </c>
      <c r="C11" s="1" t="s">
        <v>12</v>
      </c>
      <c r="D11" s="1" t="str">
        <f>PROPER(TRIM(dataorders_enriched_csv_1[[#This Row],[first_name]]))</f>
        <v>Gaurav</v>
      </c>
      <c r="E11" s="1" t="str">
        <f>PROPER(TRIM(dataorders_enriched_csv_1[[#This Row],[last_name]]))</f>
        <v>Yadav</v>
      </c>
      <c r="F11" s="1" t="s">
        <v>13</v>
      </c>
      <c r="G11" s="1" t="s">
        <v>14</v>
      </c>
      <c r="H11" s="1" t="s">
        <v>15</v>
      </c>
      <c r="I11" s="1" t="s">
        <v>68</v>
      </c>
      <c r="J11" s="1">
        <f t="shared" si="0"/>
        <v>3200</v>
      </c>
      <c r="K11" s="1">
        <v>3200</v>
      </c>
      <c r="L11" s="1" t="s">
        <v>74</v>
      </c>
      <c r="M11" s="1">
        <v>1</v>
      </c>
      <c r="N11" s="1" t="e">
        <f t="shared" si="1"/>
        <v>#VALUE!</v>
      </c>
      <c r="O11" s="1" t="s">
        <v>70</v>
      </c>
      <c r="P11" s="1" t="s">
        <v>19</v>
      </c>
      <c r="Q11" s="1">
        <f>dataorders_enriched_csv_1[[#This Row],[Unit-price]]*dataorders_enriched_csv_1[[#This Row],[quantity]]</f>
        <v>3200</v>
      </c>
    </row>
    <row r="12" spans="1:25" hidden="1" x14ac:dyDescent="0.3">
      <c r="A12" s="1">
        <v>1011</v>
      </c>
      <c r="B12" s="2">
        <v>46266</v>
      </c>
      <c r="C12" s="1" t="s">
        <v>48</v>
      </c>
      <c r="D12" s="1" t="str">
        <f>PROPER(TRIM(dataorders_enriched_csv_1[[#This Row],[first_name]]))</f>
        <v>Isha</v>
      </c>
      <c r="E12" s="1" t="str">
        <f>PROPER(TRIM(dataorders_enriched_csv_1[[#This Row],[last_name]]))</f>
        <v>Pillai</v>
      </c>
      <c r="F12" s="1" t="s">
        <v>49</v>
      </c>
      <c r="G12" s="1" t="s">
        <v>22</v>
      </c>
      <c r="H12" s="1" t="s">
        <v>23</v>
      </c>
      <c r="I12" s="1" t="s">
        <v>88</v>
      </c>
      <c r="J12" s="1">
        <f t="shared" si="0"/>
        <v>5200</v>
      </c>
      <c r="K12" s="1">
        <v>5200</v>
      </c>
      <c r="L12" s="1" t="s">
        <v>89</v>
      </c>
      <c r="M12" s="1">
        <v>3</v>
      </c>
      <c r="N12" s="1">
        <f t="shared" si="1"/>
        <v>15600</v>
      </c>
      <c r="O12" s="1" t="s">
        <v>95</v>
      </c>
      <c r="P12" s="1" t="s">
        <v>50</v>
      </c>
      <c r="Q12" s="1">
        <f>dataorders_enriched_csv_1[[#This Row],[Unit-price]]*dataorders_enriched_csv_1[[#This Row],[quantity]]</f>
        <v>15600</v>
      </c>
    </row>
    <row r="13" spans="1:25" x14ac:dyDescent="0.3">
      <c r="A13" s="1">
        <v>1040</v>
      </c>
      <c r="B13" s="2">
        <v>46296</v>
      </c>
      <c r="C13" s="1" t="s">
        <v>80</v>
      </c>
      <c r="D13" s="1" t="str">
        <f>PROPER(TRIM(dataorders_enriched_csv_1[[#This Row],[first_name]]))</f>
        <v>Aarav</v>
      </c>
      <c r="E13" s="1" t="str">
        <f>PROPER(TRIM(dataorders_enriched_csv_1[[#This Row],[last_name]]))</f>
        <v>Sharma</v>
      </c>
      <c r="F13" s="1" t="s">
        <v>81</v>
      </c>
      <c r="G13" s="1" t="s">
        <v>33</v>
      </c>
      <c r="H13" s="1" t="s">
        <v>34</v>
      </c>
      <c r="I13" s="1" t="s">
        <v>68</v>
      </c>
      <c r="J13" s="1">
        <f t="shared" si="0"/>
        <v>4500</v>
      </c>
      <c r="K13" s="1">
        <v>4500</v>
      </c>
      <c r="L13" s="1" t="s">
        <v>71</v>
      </c>
      <c r="M13" s="1">
        <v>3</v>
      </c>
      <c r="N13" s="1">
        <f t="shared" si="1"/>
        <v>13500</v>
      </c>
      <c r="O13" s="1" t="s">
        <v>73</v>
      </c>
      <c r="P13" s="1" t="s">
        <v>26</v>
      </c>
      <c r="Q13" s="1">
        <f>dataorders_enriched_csv_1[[#This Row],[Unit-price]]*dataorders_enriched_csv_1[[#This Row],[quantity]]</f>
        <v>13500</v>
      </c>
    </row>
    <row r="14" spans="1:25" hidden="1" x14ac:dyDescent="0.3">
      <c r="A14" s="1">
        <v>1013</v>
      </c>
      <c r="B14" s="2">
        <v>46266</v>
      </c>
      <c r="C14" s="1" t="s">
        <v>76</v>
      </c>
      <c r="D14" s="1" t="str">
        <f>PROPER(TRIM(dataorders_enriched_csv_1[[#This Row],[first_name]]))</f>
        <v>Harsh</v>
      </c>
      <c r="E14" s="1" t="str">
        <f>PROPER(TRIM(dataorders_enriched_csv_1[[#This Row],[last_name]]))</f>
        <v>Chopra</v>
      </c>
      <c r="F14" s="1" t="s">
        <v>77</v>
      </c>
      <c r="G14" s="1" t="s">
        <v>14</v>
      </c>
      <c r="H14" s="1" t="s">
        <v>15</v>
      </c>
      <c r="I14" s="1" t="s">
        <v>68</v>
      </c>
      <c r="J14" s="1">
        <f t="shared" si="0"/>
        <v>4500</v>
      </c>
      <c r="K14" s="1">
        <v>4500</v>
      </c>
      <c r="L14" s="1" t="s">
        <v>71</v>
      </c>
      <c r="M14" s="1">
        <v>2</v>
      </c>
      <c r="N14" s="1">
        <f t="shared" si="1"/>
        <v>9000</v>
      </c>
      <c r="O14" s="1" t="s">
        <v>78</v>
      </c>
      <c r="P14" s="1" t="s">
        <v>50</v>
      </c>
      <c r="Q14" s="1">
        <f>dataorders_enriched_csv_1[[#This Row],[Unit-price]]*dataorders_enriched_csv_1[[#This Row],[quantity]]</f>
        <v>9000</v>
      </c>
      <c r="S14" s="8"/>
      <c r="T14" s="8"/>
    </row>
    <row r="15" spans="1:25" x14ac:dyDescent="0.3">
      <c r="A15" s="1">
        <v>1021</v>
      </c>
      <c r="B15" s="2">
        <v>46266</v>
      </c>
      <c r="C15" s="1" t="s">
        <v>36</v>
      </c>
      <c r="D15" s="1" t="str">
        <f>PROPER(TRIM(dataorders_enriched_csv_1[[#This Row],[first_name]]))</f>
        <v>Manoj</v>
      </c>
      <c r="E15" s="1" t="str">
        <f>PROPER(TRIM(dataorders_enriched_csv_1[[#This Row],[last_name]]))</f>
        <v>Desai</v>
      </c>
      <c r="F15" s="1" t="s">
        <v>37</v>
      </c>
      <c r="G15" s="1" t="s">
        <v>33</v>
      </c>
      <c r="H15" s="1" t="s">
        <v>34</v>
      </c>
      <c r="I15" s="1" t="s">
        <v>88</v>
      </c>
      <c r="J15" s="1">
        <f t="shared" si="0"/>
        <v>5200</v>
      </c>
      <c r="K15" s="1">
        <v>5200</v>
      </c>
      <c r="L15" s="1" t="s">
        <v>89</v>
      </c>
      <c r="M15" s="1">
        <v>2</v>
      </c>
      <c r="N15" s="1">
        <f t="shared" si="1"/>
        <v>10400</v>
      </c>
      <c r="O15" s="1" t="s">
        <v>90</v>
      </c>
      <c r="P15" s="1" t="s">
        <v>26</v>
      </c>
      <c r="Q15" s="1">
        <f>dataorders_enriched_csv_1[[#This Row],[Unit-price]]*dataorders_enriched_csv_1[[#This Row],[quantity]]</f>
        <v>10400</v>
      </c>
      <c r="S15" s="27" t="s">
        <v>107</v>
      </c>
      <c r="T15" s="27"/>
      <c r="U15" s="11"/>
    </row>
    <row r="16" spans="1:25" x14ac:dyDescent="0.3">
      <c r="A16" s="1">
        <v>1022</v>
      </c>
      <c r="B16" s="2">
        <v>46266</v>
      </c>
      <c r="C16" s="1" t="s">
        <v>31</v>
      </c>
      <c r="D16" s="1" t="str">
        <f>PROPER(TRIM(dataorders_enriched_csv_1[[#This Row],[first_name]]))</f>
        <v>Vikram</v>
      </c>
      <c r="E16" s="1" t="str">
        <f>PROPER(TRIM(dataorders_enriched_csv_1[[#This Row],[last_name]]))</f>
        <v>Singh</v>
      </c>
      <c r="F16" s="1" t="s">
        <v>32</v>
      </c>
      <c r="G16" s="1" t="s">
        <v>33</v>
      </c>
      <c r="H16" s="1" t="s">
        <v>34</v>
      </c>
      <c r="I16" s="1" t="s">
        <v>88</v>
      </c>
      <c r="J16" s="1">
        <f t="shared" si="0"/>
        <v>5200</v>
      </c>
      <c r="K16" s="1">
        <v>5200</v>
      </c>
      <c r="L16" s="1" t="s">
        <v>89</v>
      </c>
      <c r="M16" s="1">
        <v>2</v>
      </c>
      <c r="N16" s="1">
        <f t="shared" si="1"/>
        <v>10400</v>
      </c>
      <c r="O16" s="1" t="s">
        <v>90</v>
      </c>
      <c r="P16" s="1" t="s">
        <v>26</v>
      </c>
      <c r="Q16" s="1">
        <f>dataorders_enriched_csv_1[[#This Row],[Unit-price]]*dataorders_enriched_csv_1[[#This Row],[quantity]]</f>
        <v>10400</v>
      </c>
      <c r="S16" s="28" t="e">
        <f>_xlfn.XLOOKUP("Mystery item",[1]!dataorders_enriched_csv[item],[1]!dataorders_enriched_csv[amount2],"Unknown item")</f>
        <v>#REF!</v>
      </c>
      <c r="T16" s="29"/>
      <c r="U16" s="9"/>
    </row>
    <row r="17" spans="1:17" x14ac:dyDescent="0.3">
      <c r="A17" s="1">
        <v>1083</v>
      </c>
      <c r="B17" s="2">
        <v>46327</v>
      </c>
      <c r="C17" s="1" t="s">
        <v>46</v>
      </c>
      <c r="D17" s="1" t="str">
        <f>PROPER(TRIM(dataorders_enriched_csv_1[[#This Row],[first_name]]))</f>
        <v>Lakshmi</v>
      </c>
      <c r="E17" s="1" t="str">
        <f>PROPER(TRIM(dataorders_enriched_csv_1[[#This Row],[last_name]]))</f>
        <v>Kapoor</v>
      </c>
      <c r="F17" s="1" t="s">
        <v>47</v>
      </c>
      <c r="G17" s="1" t="s">
        <v>40</v>
      </c>
      <c r="H17" s="1" t="s">
        <v>41</v>
      </c>
      <c r="I17" s="1" t="s">
        <v>88</v>
      </c>
      <c r="J17" s="1">
        <f t="shared" si="0"/>
        <v>5200</v>
      </c>
      <c r="K17" s="1">
        <v>5200</v>
      </c>
      <c r="L17" s="1" t="s">
        <v>89</v>
      </c>
      <c r="M17" s="1">
        <v>2</v>
      </c>
      <c r="N17" s="1">
        <f t="shared" si="1"/>
        <v>10400</v>
      </c>
      <c r="O17" s="1" t="s">
        <v>90</v>
      </c>
      <c r="P17" s="1" t="s">
        <v>26</v>
      </c>
      <c r="Q17" s="1">
        <f>dataorders_enriched_csv_1[[#This Row],[Unit-price]]*dataorders_enriched_csv_1[[#This Row],[quantity]]</f>
        <v>10400</v>
      </c>
    </row>
    <row r="18" spans="1:17" x14ac:dyDescent="0.3">
      <c r="A18" s="1">
        <v>1054</v>
      </c>
      <c r="B18" s="2">
        <v>46296</v>
      </c>
      <c r="C18" s="1" t="s">
        <v>36</v>
      </c>
      <c r="D18" s="1" t="str">
        <f>PROPER(TRIM(dataorders_enriched_csv_1[[#This Row],[first_name]]))</f>
        <v>Manoj</v>
      </c>
      <c r="E18" s="1" t="str">
        <f>PROPER(TRIM(dataorders_enriched_csv_1[[#This Row],[last_name]]))</f>
        <v>Desai</v>
      </c>
      <c r="F18" s="1" t="s">
        <v>37</v>
      </c>
      <c r="G18" s="1" t="s">
        <v>33</v>
      </c>
      <c r="H18" s="1" t="s">
        <v>34</v>
      </c>
      <c r="I18" s="1" t="s">
        <v>68</v>
      </c>
      <c r="J18" s="1">
        <f t="shared" si="0"/>
        <v>3200</v>
      </c>
      <c r="K18" s="1">
        <v>3200</v>
      </c>
      <c r="L18" s="1" t="s">
        <v>74</v>
      </c>
      <c r="M18" s="1">
        <v>3</v>
      </c>
      <c r="N18" s="1">
        <f t="shared" si="1"/>
        <v>9600</v>
      </c>
      <c r="O18" s="1" t="s">
        <v>84</v>
      </c>
      <c r="P18" s="1" t="s">
        <v>26</v>
      </c>
      <c r="Q18" s="1">
        <f>dataorders_enriched_csv_1[[#This Row],[Unit-price]]*dataorders_enriched_csv_1[[#This Row],[quantity]]</f>
        <v>9600</v>
      </c>
    </row>
    <row r="19" spans="1:17" x14ac:dyDescent="0.3">
      <c r="A19" s="1">
        <v>1090</v>
      </c>
      <c r="B19" s="2">
        <v>46327</v>
      </c>
      <c r="C19" s="1" t="s">
        <v>65</v>
      </c>
      <c r="D19" s="1" t="str">
        <f>PROPER(TRIM(dataorders_enriched_csv_1[[#This Row],[first_name]]))</f>
        <v>Karthik</v>
      </c>
      <c r="E19" s="1" t="str">
        <f>PROPER(TRIM(dataorders_enriched_csv_1[[#This Row],[last_name]]))</f>
        <v>Nair</v>
      </c>
      <c r="F19" s="1" t="s">
        <v>66</v>
      </c>
      <c r="G19" s="1" t="s">
        <v>14</v>
      </c>
      <c r="H19" s="1" t="s">
        <v>15</v>
      </c>
      <c r="I19" s="1" t="s">
        <v>68</v>
      </c>
      <c r="J19" s="1">
        <f t="shared" si="0"/>
        <v>3200</v>
      </c>
      <c r="K19" s="1">
        <v>3200</v>
      </c>
      <c r="L19" s="1" t="s">
        <v>74</v>
      </c>
      <c r="M19" s="1">
        <v>3</v>
      </c>
      <c r="N19" s="1">
        <f t="shared" si="1"/>
        <v>9600</v>
      </c>
      <c r="O19" s="1" t="s">
        <v>84</v>
      </c>
      <c r="P19" s="1" t="s">
        <v>26</v>
      </c>
      <c r="Q19" s="1">
        <f>dataorders_enriched_csv_1[[#This Row],[Unit-price]]*dataorders_enriched_csv_1[[#This Row],[quantity]]</f>
        <v>9600</v>
      </c>
    </row>
    <row r="20" spans="1:17" x14ac:dyDescent="0.3">
      <c r="A20" s="1">
        <v>1015</v>
      </c>
      <c r="B20" s="2">
        <v>46266</v>
      </c>
      <c r="C20" s="1" t="s">
        <v>46</v>
      </c>
      <c r="D20" s="1" t="str">
        <f>PROPER(TRIM(dataorders_enriched_csv_1[[#This Row],[first_name]]))</f>
        <v>Lakshmi</v>
      </c>
      <c r="E20" s="1" t="str">
        <f>PROPER(TRIM(dataorders_enriched_csv_1[[#This Row],[last_name]]))</f>
        <v>Kapoor</v>
      </c>
      <c r="F20" s="1" t="s">
        <v>47</v>
      </c>
      <c r="G20" s="1" t="s">
        <v>40</v>
      </c>
      <c r="H20" s="1" t="s">
        <v>41</v>
      </c>
      <c r="I20" s="1" t="s">
        <v>68</v>
      </c>
      <c r="J20" s="1">
        <f t="shared" si="0"/>
        <v>4500</v>
      </c>
      <c r="K20" s="1">
        <v>4500</v>
      </c>
      <c r="L20" s="1" t="s">
        <v>71</v>
      </c>
      <c r="M20" s="1">
        <v>2</v>
      </c>
      <c r="N20" s="1">
        <f t="shared" si="1"/>
        <v>9000</v>
      </c>
      <c r="O20" s="1" t="s">
        <v>78</v>
      </c>
      <c r="P20" s="1" t="s">
        <v>26</v>
      </c>
      <c r="Q20" s="1">
        <f>dataorders_enriched_csv_1[[#This Row],[Unit-price]]*dataorders_enriched_csv_1[[#This Row],[quantity]]</f>
        <v>9000</v>
      </c>
    </row>
    <row r="21" spans="1:17" x14ac:dyDescent="0.3">
      <c r="A21" s="1">
        <v>1049</v>
      </c>
      <c r="B21" s="2">
        <v>46296</v>
      </c>
      <c r="C21" s="1" t="s">
        <v>80</v>
      </c>
      <c r="D21" s="1" t="str">
        <f>PROPER(TRIM(dataorders_enriched_csv_1[[#This Row],[first_name]]))</f>
        <v>Aarav</v>
      </c>
      <c r="E21" s="1" t="str">
        <f>PROPER(TRIM(dataorders_enriched_csv_1[[#This Row],[last_name]]))</f>
        <v>Sharma</v>
      </c>
      <c r="F21" s="1" t="s">
        <v>81</v>
      </c>
      <c r="G21" s="1" t="s">
        <v>33</v>
      </c>
      <c r="H21" s="1" t="s">
        <v>34</v>
      </c>
      <c r="I21" s="1" t="s">
        <v>68</v>
      </c>
      <c r="J21" s="1">
        <f t="shared" si="0"/>
        <v>4500</v>
      </c>
      <c r="K21" s="1">
        <v>4500</v>
      </c>
      <c r="L21" s="1" t="s">
        <v>71</v>
      </c>
      <c r="M21" s="1">
        <v>2</v>
      </c>
      <c r="N21" s="1">
        <f t="shared" si="1"/>
        <v>9000</v>
      </c>
      <c r="O21" s="1" t="s">
        <v>78</v>
      </c>
      <c r="P21" s="1" t="s">
        <v>26</v>
      </c>
      <c r="Q21" s="1">
        <f>dataorders_enriched_csv_1[[#This Row],[Unit-price]]*dataorders_enriched_csv_1[[#This Row],[quantity]]</f>
        <v>9000</v>
      </c>
    </row>
    <row r="22" spans="1:17" x14ac:dyDescent="0.3">
      <c r="A22" s="1">
        <v>1016</v>
      </c>
      <c r="B22" s="2">
        <v>46266</v>
      </c>
      <c r="C22" s="1" t="s">
        <v>27</v>
      </c>
      <c r="D22" s="1" t="str">
        <f>PROPER(TRIM(dataorders_enriched_csv_1[[#This Row],[first_name]]))</f>
        <v>Pooja</v>
      </c>
      <c r="E22" s="1" t="str">
        <f>PROPER(TRIM(dataorders_enriched_csv_1[[#This Row],[last_name]]))</f>
        <v>Menon</v>
      </c>
      <c r="F22" s="1" t="s">
        <v>28</v>
      </c>
      <c r="G22" s="1" t="s">
        <v>22</v>
      </c>
      <c r="H22" s="1" t="s">
        <v>23</v>
      </c>
      <c r="I22" s="1" t="s">
        <v>16</v>
      </c>
      <c r="J22" s="1">
        <f t="shared" si="0"/>
        <v>2500</v>
      </c>
      <c r="K22" s="1">
        <v>2500</v>
      </c>
      <c r="L22" s="1" t="s">
        <v>29</v>
      </c>
      <c r="M22" s="1">
        <v>3</v>
      </c>
      <c r="N22" s="1">
        <f t="shared" si="1"/>
        <v>7500</v>
      </c>
      <c r="O22" s="1" t="s">
        <v>30</v>
      </c>
      <c r="P22" s="1" t="s">
        <v>26</v>
      </c>
      <c r="Q22" s="1">
        <f>dataorders_enriched_csv_1[[#This Row],[Unit-price]]*dataorders_enriched_csv_1[[#This Row],[quantity]]</f>
        <v>7500</v>
      </c>
    </row>
    <row r="23" spans="1:17" x14ac:dyDescent="0.3">
      <c r="A23" s="1">
        <v>1019</v>
      </c>
      <c r="B23" s="2">
        <v>46266</v>
      </c>
      <c r="C23" s="1" t="s">
        <v>31</v>
      </c>
      <c r="D23" s="1" t="str">
        <f>PROPER(TRIM(dataorders_enriched_csv_1[[#This Row],[first_name]]))</f>
        <v>Vikram</v>
      </c>
      <c r="E23" s="1" t="str">
        <f>PROPER(TRIM(dataorders_enriched_csv_1[[#This Row],[last_name]]))</f>
        <v>Singh</v>
      </c>
      <c r="F23" s="1" t="s">
        <v>32</v>
      </c>
      <c r="G23" s="1" t="s">
        <v>33</v>
      </c>
      <c r="H23" s="1" t="s">
        <v>34</v>
      </c>
      <c r="I23" s="1" t="s">
        <v>16</v>
      </c>
      <c r="J23" s="1">
        <f t="shared" si="0"/>
        <v>3600</v>
      </c>
      <c r="K23" s="1">
        <v>3600</v>
      </c>
      <c r="L23" s="1" t="s">
        <v>24</v>
      </c>
      <c r="M23" s="1">
        <v>2</v>
      </c>
      <c r="N23" s="1">
        <f t="shared" si="1"/>
        <v>7200</v>
      </c>
      <c r="O23" s="1" t="s">
        <v>35</v>
      </c>
      <c r="P23" s="1" t="s">
        <v>26</v>
      </c>
      <c r="Q23" s="1">
        <f>dataorders_enriched_csv_1[[#This Row],[Unit-price]]*dataorders_enriched_csv_1[[#This Row],[quantity]]</f>
        <v>7200</v>
      </c>
    </row>
    <row r="24" spans="1:17" x14ac:dyDescent="0.3">
      <c r="A24" s="1">
        <v>1034</v>
      </c>
      <c r="B24" s="2">
        <v>46296</v>
      </c>
      <c r="C24" s="1" t="s">
        <v>54</v>
      </c>
      <c r="D24" s="1" t="str">
        <f>PROPER(TRIM(dataorders_enriched_csv_1[[#This Row],[first_name]]))</f>
        <v>Divya</v>
      </c>
      <c r="E24" s="1" t="str">
        <f>PROPER(TRIM(dataorders_enriched_csv_1[[#This Row],[last_name]]))</f>
        <v>Gupta</v>
      </c>
      <c r="F24" s="1" t="s">
        <v>55</v>
      </c>
      <c r="G24" s="1" t="s">
        <v>22</v>
      </c>
      <c r="H24" s="1" t="s">
        <v>23</v>
      </c>
      <c r="I24" s="1" t="s">
        <v>16</v>
      </c>
      <c r="J24" s="1">
        <f t="shared" si="0"/>
        <v>3600</v>
      </c>
      <c r="K24" s="1">
        <v>3600</v>
      </c>
      <c r="L24" s="1" t="s">
        <v>24</v>
      </c>
      <c r="M24" s="1">
        <v>2</v>
      </c>
      <c r="N24" s="1">
        <f t="shared" si="1"/>
        <v>7200</v>
      </c>
      <c r="O24" s="1" t="s">
        <v>35</v>
      </c>
      <c r="P24" s="1" t="s">
        <v>26</v>
      </c>
      <c r="Q24" s="1">
        <f>dataorders_enriched_csv_1[[#This Row],[Unit-price]]*dataorders_enriched_csv_1[[#This Row],[quantity]]</f>
        <v>7200</v>
      </c>
    </row>
    <row r="25" spans="1:17" x14ac:dyDescent="0.3">
      <c r="A25" s="1">
        <v>1074</v>
      </c>
      <c r="B25" s="2">
        <v>46327</v>
      </c>
      <c r="C25" s="1" t="s">
        <v>62</v>
      </c>
      <c r="D25" s="1" t="str">
        <f>PROPER(TRIM(dataorders_enriched_csv_1[[#This Row],[first_name]]))</f>
        <v>Nisha</v>
      </c>
      <c r="E25" s="1" t="str">
        <f>PROPER(TRIM(dataorders_enriched_csv_1[[#This Row],[last_name]]))</f>
        <v>Mishra</v>
      </c>
      <c r="F25" s="1" t="s">
        <v>63</v>
      </c>
      <c r="G25" s="1" t="s">
        <v>22</v>
      </c>
      <c r="H25" s="1" t="s">
        <v>23</v>
      </c>
      <c r="I25" s="1" t="s">
        <v>16</v>
      </c>
      <c r="J25" s="1">
        <f t="shared" si="0"/>
        <v>3600</v>
      </c>
      <c r="K25" s="1">
        <v>3600</v>
      </c>
      <c r="L25" s="1" t="s">
        <v>24</v>
      </c>
      <c r="M25" s="1">
        <v>2</v>
      </c>
      <c r="N25" s="1">
        <f t="shared" si="1"/>
        <v>7200</v>
      </c>
      <c r="O25" s="1" t="s">
        <v>35</v>
      </c>
      <c r="P25" s="1" t="s">
        <v>26</v>
      </c>
      <c r="Q25" s="1">
        <f>dataorders_enriched_csv_1[[#This Row],[Unit-price]]*dataorders_enriched_csv_1[[#This Row],[quantity]]</f>
        <v>7200</v>
      </c>
    </row>
    <row r="26" spans="1:17" x14ac:dyDescent="0.3">
      <c r="A26" s="1">
        <v>1086</v>
      </c>
      <c r="B26" s="2">
        <v>46327</v>
      </c>
      <c r="C26" s="1" t="s">
        <v>36</v>
      </c>
      <c r="D26" s="1" t="str">
        <f>PROPER(TRIM(dataorders_enriched_csv_1[[#This Row],[first_name]]))</f>
        <v>Manoj</v>
      </c>
      <c r="E26" s="1" t="str">
        <f>PROPER(TRIM(dataorders_enriched_csv_1[[#This Row],[last_name]]))</f>
        <v>Desai</v>
      </c>
      <c r="F26" s="1" t="s">
        <v>37</v>
      </c>
      <c r="G26" s="1" t="s">
        <v>33</v>
      </c>
      <c r="H26" s="1" t="s">
        <v>34</v>
      </c>
      <c r="I26" s="1" t="s">
        <v>16</v>
      </c>
      <c r="J26" s="1">
        <f t="shared" si="0"/>
        <v>3600</v>
      </c>
      <c r="K26" s="1">
        <v>3600</v>
      </c>
      <c r="L26" s="1" t="s">
        <v>24</v>
      </c>
      <c r="M26" s="1">
        <v>2</v>
      </c>
      <c r="N26" s="1">
        <f t="shared" si="1"/>
        <v>7200</v>
      </c>
      <c r="O26" s="1" t="s">
        <v>35</v>
      </c>
      <c r="P26" s="1" t="s">
        <v>26</v>
      </c>
      <c r="Q26" s="1">
        <f>dataorders_enriched_csv_1[[#This Row],[Unit-price]]*dataorders_enriched_csv_1[[#This Row],[quantity]]</f>
        <v>7200</v>
      </c>
    </row>
    <row r="27" spans="1:17" x14ac:dyDescent="0.3">
      <c r="A27" s="1">
        <v>1008</v>
      </c>
      <c r="B27" s="2">
        <v>46266</v>
      </c>
      <c r="C27" s="1" t="s">
        <v>20</v>
      </c>
      <c r="D27" s="1" t="str">
        <f>PROPER(TRIM(dataorders_enriched_csv_1[[#This Row],[first_name]]))</f>
        <v>Sneha</v>
      </c>
      <c r="E27" s="1" t="str">
        <f>PROPER(TRIM(dataorders_enriched_csv_1[[#This Row],[last_name]]))</f>
        <v>Das</v>
      </c>
      <c r="F27" s="1" t="s">
        <v>21</v>
      </c>
      <c r="G27" s="1" t="s">
        <v>22</v>
      </c>
      <c r="H27" s="1" t="s">
        <v>23</v>
      </c>
      <c r="I27" s="1" t="s">
        <v>68</v>
      </c>
      <c r="J27" s="1">
        <f t="shared" si="0"/>
        <v>3200</v>
      </c>
      <c r="K27" s="1">
        <v>3200</v>
      </c>
      <c r="L27" s="1" t="s">
        <v>74</v>
      </c>
      <c r="M27" s="1">
        <v>2</v>
      </c>
      <c r="N27" s="1">
        <f t="shared" si="1"/>
        <v>6400</v>
      </c>
      <c r="O27" s="1" t="s">
        <v>75</v>
      </c>
      <c r="P27" s="1" t="s">
        <v>26</v>
      </c>
      <c r="Q27" s="1">
        <f>dataorders_enriched_csv_1[[#This Row],[Unit-price]]*dataorders_enriched_csv_1[[#This Row],[quantity]]</f>
        <v>6400</v>
      </c>
    </row>
    <row r="28" spans="1:17" x14ac:dyDescent="0.3">
      <c r="A28" s="1">
        <v>1020</v>
      </c>
      <c r="B28" s="2">
        <v>46266</v>
      </c>
      <c r="C28" s="1" t="s">
        <v>56</v>
      </c>
      <c r="D28" s="1" t="str">
        <f>PROPER(TRIM(dataorders_enriched_csv_1[[#This Row],[first_name]]))</f>
        <v>Tanvi</v>
      </c>
      <c r="E28" s="1" t="str">
        <f>PROPER(TRIM(dataorders_enriched_csv_1[[#This Row],[last_name]]))</f>
        <v>Thakur</v>
      </c>
      <c r="F28" s="1" t="s">
        <v>57</v>
      </c>
      <c r="G28" s="1" t="s">
        <v>40</v>
      </c>
      <c r="H28" s="1" t="s">
        <v>41</v>
      </c>
      <c r="I28" s="1" t="s">
        <v>68</v>
      </c>
      <c r="J28" s="1">
        <f t="shared" si="0"/>
        <v>3200</v>
      </c>
      <c r="K28" s="1">
        <v>3200</v>
      </c>
      <c r="L28" s="1" t="s">
        <v>74</v>
      </c>
      <c r="M28" s="1">
        <v>2</v>
      </c>
      <c r="N28" s="1">
        <f t="shared" si="1"/>
        <v>6400</v>
      </c>
      <c r="O28" s="1" t="s">
        <v>75</v>
      </c>
      <c r="P28" s="1" t="s">
        <v>26</v>
      </c>
      <c r="Q28" s="1">
        <f>dataorders_enriched_csv_1[[#This Row],[Unit-price]]*dataorders_enriched_csv_1[[#This Row],[quantity]]</f>
        <v>6400</v>
      </c>
    </row>
    <row r="29" spans="1:17" x14ac:dyDescent="0.3">
      <c r="A29" s="1">
        <v>1062</v>
      </c>
      <c r="B29" s="2">
        <v>46327</v>
      </c>
      <c r="C29" s="1" t="s">
        <v>48</v>
      </c>
      <c r="D29" s="1" t="str">
        <f>PROPER(TRIM(dataorders_enriched_csv_1[[#This Row],[first_name]]))</f>
        <v>Isha</v>
      </c>
      <c r="E29" s="1" t="str">
        <f>PROPER(TRIM(dataorders_enriched_csv_1[[#This Row],[last_name]]))</f>
        <v>Pillai</v>
      </c>
      <c r="F29" s="1" t="s">
        <v>49</v>
      </c>
      <c r="G29" s="1" t="s">
        <v>22</v>
      </c>
      <c r="H29" s="1" t="s">
        <v>23</v>
      </c>
      <c r="I29" s="1" t="s">
        <v>68</v>
      </c>
      <c r="J29" s="1">
        <f t="shared" si="0"/>
        <v>3200</v>
      </c>
      <c r="K29" s="1">
        <v>3200</v>
      </c>
      <c r="L29" s="1" t="s">
        <v>74</v>
      </c>
      <c r="M29" s="1">
        <v>2</v>
      </c>
      <c r="N29" s="1">
        <f t="shared" si="1"/>
        <v>6400</v>
      </c>
      <c r="O29" s="1" t="s">
        <v>75</v>
      </c>
      <c r="P29" s="1" t="s">
        <v>26</v>
      </c>
      <c r="Q29" s="1">
        <f>dataorders_enriched_csv_1[[#This Row],[Unit-price]]*dataorders_enriched_csv_1[[#This Row],[quantity]]</f>
        <v>6400</v>
      </c>
    </row>
    <row r="30" spans="1:17" x14ac:dyDescent="0.3">
      <c r="A30" s="1">
        <v>1081</v>
      </c>
      <c r="B30" s="2">
        <v>46327</v>
      </c>
      <c r="C30" s="1" t="s">
        <v>31</v>
      </c>
      <c r="D30" s="1" t="str">
        <f>PROPER(TRIM(dataorders_enriched_csv_1[[#This Row],[first_name]]))</f>
        <v>Vikram</v>
      </c>
      <c r="E30" s="1" t="str">
        <f>PROPER(TRIM(dataorders_enriched_csv_1[[#This Row],[last_name]]))</f>
        <v>Singh</v>
      </c>
      <c r="F30" s="1" t="s">
        <v>32</v>
      </c>
      <c r="G30" s="1" t="s">
        <v>33</v>
      </c>
      <c r="H30" s="1" t="s">
        <v>34</v>
      </c>
      <c r="I30" s="1" t="s">
        <v>68</v>
      </c>
      <c r="J30" s="1">
        <f t="shared" si="0"/>
        <v>3200</v>
      </c>
      <c r="K30" s="1">
        <v>3200</v>
      </c>
      <c r="L30" s="1" t="s">
        <v>74</v>
      </c>
      <c r="M30" s="1">
        <v>2</v>
      </c>
      <c r="N30" s="1">
        <f t="shared" si="1"/>
        <v>6400</v>
      </c>
      <c r="O30" s="1" t="s">
        <v>75</v>
      </c>
      <c r="P30" s="1" t="s">
        <v>26</v>
      </c>
      <c r="Q30" s="1">
        <f>dataorders_enriched_csv_1[[#This Row],[Unit-price]]*dataorders_enriched_csv_1[[#This Row],[quantity]]</f>
        <v>6400</v>
      </c>
    </row>
    <row r="31" spans="1:17" x14ac:dyDescent="0.3">
      <c r="A31" s="1">
        <v>1059</v>
      </c>
      <c r="B31" s="2">
        <v>46327</v>
      </c>
      <c r="C31" s="1" t="s">
        <v>38</v>
      </c>
      <c r="D31" s="1" t="str">
        <f>PROPER(TRIM(dataorders_enriched_csv_1[[#This Row],[first_name]]))</f>
        <v>Priya</v>
      </c>
      <c r="E31" s="1" t="str">
        <f>PROPER(TRIM(dataorders_enriched_csv_1[[#This Row],[last_name]]))</f>
        <v>Iyer</v>
      </c>
      <c r="F31" s="1" t="s">
        <v>39</v>
      </c>
      <c r="G31" s="1" t="s">
        <v>40</v>
      </c>
      <c r="H31" s="1" t="s">
        <v>41</v>
      </c>
      <c r="I31" s="1" t="s">
        <v>68</v>
      </c>
      <c r="J31" s="1">
        <f t="shared" si="0"/>
        <v>2800</v>
      </c>
      <c r="K31" s="1">
        <v>2800</v>
      </c>
      <c r="L31" s="1" t="s">
        <v>69</v>
      </c>
      <c r="M31" s="1">
        <v>2</v>
      </c>
      <c r="N31" s="1">
        <f t="shared" si="1"/>
        <v>5600</v>
      </c>
      <c r="O31" s="1" t="s">
        <v>85</v>
      </c>
      <c r="P31" s="1" t="s">
        <v>26</v>
      </c>
      <c r="Q31" s="1">
        <f>dataorders_enriched_csv_1[[#This Row],[Unit-price]]*dataorders_enriched_csv_1[[#This Row],[quantity]]</f>
        <v>5600</v>
      </c>
    </row>
    <row r="32" spans="1:17" hidden="1" x14ac:dyDescent="0.3">
      <c r="A32" s="1">
        <v>1031</v>
      </c>
      <c r="B32" s="2">
        <v>46296</v>
      </c>
      <c r="C32" s="1" t="s">
        <v>48</v>
      </c>
      <c r="D32" s="1" t="str">
        <f>PROPER(TRIM(dataorders_enriched_csv_1[[#This Row],[first_name]]))</f>
        <v>Isha</v>
      </c>
      <c r="E32" s="1" t="str">
        <f>PROPER(TRIM(dataorders_enriched_csv_1[[#This Row],[last_name]]))</f>
        <v>Pillai</v>
      </c>
      <c r="F32" s="1" t="s">
        <v>49</v>
      </c>
      <c r="G32" s="1" t="s">
        <v>22</v>
      </c>
      <c r="H32" s="1" t="s">
        <v>23</v>
      </c>
      <c r="I32" s="1" t="s">
        <v>16</v>
      </c>
      <c r="J32" s="1">
        <f t="shared" si="0"/>
        <v>2500</v>
      </c>
      <c r="K32" s="1">
        <v>2500</v>
      </c>
      <c r="L32" s="1" t="s">
        <v>29</v>
      </c>
      <c r="M32" s="1">
        <v>2</v>
      </c>
      <c r="N32" s="1">
        <f t="shared" si="1"/>
        <v>5000</v>
      </c>
      <c r="O32" s="1" t="s">
        <v>45</v>
      </c>
      <c r="P32" s="1" t="s">
        <v>50</v>
      </c>
      <c r="Q32" s="1">
        <f>dataorders_enriched_csv_1[[#This Row],[Unit-price]]*dataorders_enriched_csv_1[[#This Row],[quantity]]</f>
        <v>5000</v>
      </c>
    </row>
    <row r="33" spans="1:17" x14ac:dyDescent="0.3">
      <c r="A33" s="1">
        <v>1053</v>
      </c>
      <c r="B33" s="2">
        <v>46296</v>
      </c>
      <c r="C33" s="1" t="s">
        <v>56</v>
      </c>
      <c r="D33" s="1" t="str">
        <f>PROPER(TRIM(dataorders_enriched_csv_1[[#This Row],[first_name]]))</f>
        <v>Tanvi</v>
      </c>
      <c r="E33" s="1" t="str">
        <f>PROPER(TRIM(dataorders_enriched_csv_1[[#This Row],[last_name]]))</f>
        <v>Thakur</v>
      </c>
      <c r="F33" s="1" t="s">
        <v>57</v>
      </c>
      <c r="G33" s="1" t="s">
        <v>40</v>
      </c>
      <c r="H33" s="1" t="s">
        <v>41</v>
      </c>
      <c r="I33" s="1" t="s">
        <v>88</v>
      </c>
      <c r="J33" s="1">
        <f t="shared" si="0"/>
        <v>5200</v>
      </c>
      <c r="K33" s="1">
        <v>5200</v>
      </c>
      <c r="L33" s="1" t="s">
        <v>89</v>
      </c>
      <c r="M33" s="1">
        <v>1</v>
      </c>
      <c r="N33" s="1">
        <f t="shared" si="1"/>
        <v>5200</v>
      </c>
      <c r="O33" s="1" t="s">
        <v>98</v>
      </c>
      <c r="P33" s="1" t="s">
        <v>26</v>
      </c>
      <c r="Q33" s="1">
        <f>dataorders_enriched_csv_1[[#This Row],[Unit-price]]*dataorders_enriched_csv_1[[#This Row],[quantity]]</f>
        <v>5200</v>
      </c>
    </row>
    <row r="34" spans="1:17" hidden="1" x14ac:dyDescent="0.3">
      <c r="A34" s="1">
        <v>1033</v>
      </c>
      <c r="B34" s="2">
        <v>46296</v>
      </c>
      <c r="C34" s="1" t="s">
        <v>51</v>
      </c>
      <c r="D34" s="1" t="str">
        <f>PROPER(TRIM(dataorders_enriched_csv_1[[#This Row],[first_name]]))</f>
        <v>Swati</v>
      </c>
      <c r="E34" s="1" t="str">
        <f>PROPER(TRIM(dataorders_enriched_csv_1[[#This Row],[last_name]]))</f>
        <v>Banerjee</v>
      </c>
      <c r="F34" s="1" t="s">
        <v>52</v>
      </c>
      <c r="G34" s="1" t="s">
        <v>40</v>
      </c>
      <c r="H34" s="1" t="s">
        <v>41</v>
      </c>
      <c r="I34" s="1" t="s">
        <v>16</v>
      </c>
      <c r="J34" s="1">
        <f t="shared" ref="J34:J65" si="2">VALUE(TRIM(CLEAN(K34)))</f>
        <v>2500</v>
      </c>
      <c r="K34" s="1">
        <v>2500</v>
      </c>
      <c r="L34" s="1" t="s">
        <v>29</v>
      </c>
      <c r="M34" s="1">
        <v>1</v>
      </c>
      <c r="N34" s="1">
        <f t="shared" ref="N34:N65" si="3">VALUE(TRIM(CLEAN(O34)))</f>
        <v>2500</v>
      </c>
      <c r="O34" s="1" t="s">
        <v>53</v>
      </c>
      <c r="P34" s="1" t="s">
        <v>19</v>
      </c>
      <c r="Q34" s="1">
        <f>dataorders_enriched_csv_1[[#This Row],[Unit-price]]*dataorders_enriched_csv_1[[#This Row],[quantity]]</f>
        <v>2500</v>
      </c>
    </row>
    <row r="35" spans="1:17" x14ac:dyDescent="0.3">
      <c r="A35" s="1">
        <v>1067</v>
      </c>
      <c r="B35" s="2">
        <v>46327</v>
      </c>
      <c r="C35" s="1" t="s">
        <v>38</v>
      </c>
      <c r="D35" s="1" t="str">
        <f>PROPER(TRIM(dataorders_enriched_csv_1[[#This Row],[first_name]]))</f>
        <v>Priya</v>
      </c>
      <c r="E35" s="1" t="str">
        <f>PROPER(TRIM(dataorders_enriched_csv_1[[#This Row],[last_name]]))</f>
        <v>Iyer</v>
      </c>
      <c r="F35" s="1" t="s">
        <v>39</v>
      </c>
      <c r="G35" s="1" t="s">
        <v>40</v>
      </c>
      <c r="H35" s="1" t="s">
        <v>41</v>
      </c>
      <c r="I35" s="1" t="s">
        <v>88</v>
      </c>
      <c r="J35" s="1">
        <f t="shared" si="2"/>
        <v>5200</v>
      </c>
      <c r="K35" s="1">
        <v>5200</v>
      </c>
      <c r="L35" s="1" t="s">
        <v>89</v>
      </c>
      <c r="M35" s="1">
        <v>1</v>
      </c>
      <c r="N35" s="1">
        <f t="shared" si="3"/>
        <v>5200</v>
      </c>
      <c r="O35" s="1" t="s">
        <v>98</v>
      </c>
      <c r="P35" s="1" t="s">
        <v>26</v>
      </c>
      <c r="Q35" s="1">
        <f>dataorders_enriched_csv_1[[#This Row],[Unit-price]]*dataorders_enriched_csv_1[[#This Row],[quantity]]</f>
        <v>5200</v>
      </c>
    </row>
    <row r="36" spans="1:17" hidden="1" x14ac:dyDescent="0.3">
      <c r="A36" s="1">
        <v>1035</v>
      </c>
      <c r="B36" s="2">
        <v>46296</v>
      </c>
      <c r="C36" s="1" t="s">
        <v>31</v>
      </c>
      <c r="D36" s="1" t="str">
        <f>PROPER(TRIM(dataorders_enriched_csv_1[[#This Row],[first_name]]))</f>
        <v>Vikram</v>
      </c>
      <c r="E36" s="1" t="str">
        <f>PROPER(TRIM(dataorders_enriched_csv_1[[#This Row],[last_name]]))</f>
        <v>Singh</v>
      </c>
      <c r="F36" s="1" t="s">
        <v>32</v>
      </c>
      <c r="G36" s="1" t="s">
        <v>33</v>
      </c>
      <c r="H36" s="1" t="s">
        <v>34</v>
      </c>
      <c r="I36" s="1" t="s">
        <v>68</v>
      </c>
      <c r="J36" s="1">
        <f t="shared" si="2"/>
        <v>2800</v>
      </c>
      <c r="K36" s="1">
        <v>2800</v>
      </c>
      <c r="L36" s="1" t="s">
        <v>69</v>
      </c>
      <c r="M36" s="1">
        <v>1</v>
      </c>
      <c r="N36" s="1">
        <f t="shared" si="3"/>
        <v>2800</v>
      </c>
      <c r="O36" s="1" t="s">
        <v>18</v>
      </c>
      <c r="P36" s="1" t="s">
        <v>19</v>
      </c>
      <c r="Q36" s="1">
        <f>dataorders_enriched_csv_1[[#This Row],[Unit-price]]*dataorders_enriched_csv_1[[#This Row],[quantity]]</f>
        <v>2800</v>
      </c>
    </row>
    <row r="37" spans="1:17" hidden="1" x14ac:dyDescent="0.3">
      <c r="A37" s="1">
        <v>1036</v>
      </c>
      <c r="B37" s="2">
        <v>46296</v>
      </c>
      <c r="C37" s="1" t="s">
        <v>56</v>
      </c>
      <c r="D37" s="1" t="str">
        <f>PROPER(TRIM(dataorders_enriched_csv_1[[#This Row],[first_name]]))</f>
        <v>Tanvi</v>
      </c>
      <c r="E37" s="1" t="str">
        <f>PROPER(TRIM(dataorders_enriched_csv_1[[#This Row],[last_name]]))</f>
        <v>Thakur</v>
      </c>
      <c r="F37" s="1" t="s">
        <v>57</v>
      </c>
      <c r="G37" s="1" t="s">
        <v>40</v>
      </c>
      <c r="H37" s="1" t="s">
        <v>41</v>
      </c>
      <c r="I37" s="1" t="s">
        <v>16</v>
      </c>
      <c r="J37" s="1">
        <f t="shared" si="2"/>
        <v>2500</v>
      </c>
      <c r="K37" s="1">
        <v>2500</v>
      </c>
      <c r="L37" s="1" t="s">
        <v>29</v>
      </c>
      <c r="M37" s="1">
        <v>2</v>
      </c>
      <c r="N37" s="1">
        <f t="shared" si="3"/>
        <v>5000</v>
      </c>
      <c r="O37" s="1" t="s">
        <v>45</v>
      </c>
      <c r="P37" s="1" t="s">
        <v>19</v>
      </c>
      <c r="Q37" s="1">
        <f>dataorders_enriched_csv_1[[#This Row],[Unit-price]]*dataorders_enriched_csv_1[[#This Row],[quantity]]</f>
        <v>5000</v>
      </c>
    </row>
    <row r="38" spans="1:17" hidden="1" x14ac:dyDescent="0.3">
      <c r="A38" s="1">
        <v>1037</v>
      </c>
      <c r="B38" s="2">
        <v>46296</v>
      </c>
      <c r="C38" s="1" t="s">
        <v>58</v>
      </c>
      <c r="D38" s="1" t="str">
        <f>PROPER(TRIM(dataorders_enriched_csv_1[[#This Row],[first_name]]))</f>
        <v>Rahul</v>
      </c>
      <c r="E38" s="1" t="str">
        <f>PROPER(TRIM(dataorders_enriched_csv_1[[#This Row],[last_name]]))</f>
        <v>Verma</v>
      </c>
      <c r="F38" s="1" t="s">
        <v>59</v>
      </c>
      <c r="G38" s="1" t="s">
        <v>14</v>
      </c>
      <c r="H38" s="1" t="s">
        <v>15</v>
      </c>
      <c r="I38" s="1" t="s">
        <v>88</v>
      </c>
      <c r="J38" s="1">
        <f t="shared" si="2"/>
        <v>1900</v>
      </c>
      <c r="K38" s="1">
        <v>1900</v>
      </c>
      <c r="L38" s="1" t="s">
        <v>93</v>
      </c>
      <c r="M38" s="1">
        <v>2</v>
      </c>
      <c r="N38" s="1">
        <f t="shared" si="3"/>
        <v>3800</v>
      </c>
      <c r="O38" s="1" t="s">
        <v>96</v>
      </c>
      <c r="P38" s="1" t="s">
        <v>19</v>
      </c>
      <c r="Q38" s="1">
        <f>dataorders_enriched_csv_1[[#This Row],[Unit-price]]*dataorders_enriched_csv_1[[#This Row],[quantity]]</f>
        <v>3800</v>
      </c>
    </row>
    <row r="39" spans="1:17" x14ac:dyDescent="0.3">
      <c r="A39" s="1">
        <v>1029</v>
      </c>
      <c r="B39" s="2">
        <v>46296</v>
      </c>
      <c r="C39" s="1" t="s">
        <v>43</v>
      </c>
      <c r="D39" s="1" t="str">
        <f>PROPER(TRIM(dataorders_enriched_csv_1[[#This Row],[first_name]]))</f>
        <v>Aditya</v>
      </c>
      <c r="E39" s="1" t="str">
        <f>PROPER(TRIM(dataorders_enriched_csv_1[[#This Row],[last_name]]))</f>
        <v>Rao</v>
      </c>
      <c r="F39" s="1" t="s">
        <v>44</v>
      </c>
      <c r="G39" s="1" t="s">
        <v>14</v>
      </c>
      <c r="H39" s="1" t="s">
        <v>15</v>
      </c>
      <c r="I39" s="1" t="s">
        <v>16</v>
      </c>
      <c r="J39" s="1">
        <f t="shared" si="2"/>
        <v>2500</v>
      </c>
      <c r="K39" s="1">
        <v>2500</v>
      </c>
      <c r="L39" s="1" t="s">
        <v>29</v>
      </c>
      <c r="M39" s="1">
        <v>2</v>
      </c>
      <c r="N39" s="1">
        <f t="shared" si="3"/>
        <v>5000</v>
      </c>
      <c r="O39" s="1" t="s">
        <v>45</v>
      </c>
      <c r="P39" s="1" t="s">
        <v>26</v>
      </c>
      <c r="Q39" s="1">
        <f>dataorders_enriched_csv_1[[#This Row],[Unit-price]]*dataorders_enriched_csv_1[[#This Row],[quantity]]</f>
        <v>5000</v>
      </c>
    </row>
    <row r="40" spans="1:17" x14ac:dyDescent="0.3">
      <c r="A40" s="1">
        <v>1030</v>
      </c>
      <c r="B40" s="2">
        <v>46296</v>
      </c>
      <c r="C40" s="1" t="s">
        <v>46</v>
      </c>
      <c r="D40" s="1" t="str">
        <f>PROPER(TRIM(dataorders_enriched_csv_1[[#This Row],[first_name]]))</f>
        <v>Lakshmi</v>
      </c>
      <c r="E40" s="1" t="str">
        <f>PROPER(TRIM(dataorders_enriched_csv_1[[#This Row],[last_name]]))</f>
        <v>Kapoor</v>
      </c>
      <c r="F40" s="1" t="s">
        <v>47</v>
      </c>
      <c r="G40" s="1" t="s">
        <v>40</v>
      </c>
      <c r="H40" s="1" t="s">
        <v>41</v>
      </c>
      <c r="I40" s="1" t="s">
        <v>16</v>
      </c>
      <c r="J40" s="1">
        <f t="shared" si="2"/>
        <v>2500</v>
      </c>
      <c r="K40" s="1">
        <v>2500</v>
      </c>
      <c r="L40" s="1" t="s">
        <v>29</v>
      </c>
      <c r="M40" s="1">
        <v>2</v>
      </c>
      <c r="N40" s="1">
        <f t="shared" si="3"/>
        <v>5000</v>
      </c>
      <c r="O40" s="1" t="s">
        <v>45</v>
      </c>
      <c r="P40" s="1" t="s">
        <v>26</v>
      </c>
      <c r="Q40" s="1">
        <f>dataorders_enriched_csv_1[[#This Row],[Unit-price]]*dataorders_enriched_csv_1[[#This Row],[quantity]]</f>
        <v>5000</v>
      </c>
    </row>
    <row r="41" spans="1:17" x14ac:dyDescent="0.3">
      <c r="A41" s="1">
        <v>1014</v>
      </c>
      <c r="B41" s="2">
        <v>46266</v>
      </c>
      <c r="C41" s="1" t="s">
        <v>43</v>
      </c>
      <c r="D41" s="1" t="str">
        <f>PROPER(TRIM(dataorders_enriched_csv_1[[#This Row],[first_name]]))</f>
        <v>Aditya</v>
      </c>
      <c r="E41" s="1" t="str">
        <f>PROPER(TRIM(dataorders_enriched_csv_1[[#This Row],[last_name]]))</f>
        <v>Rao</v>
      </c>
      <c r="F41" s="1" t="s">
        <v>44</v>
      </c>
      <c r="G41" s="1" t="s">
        <v>14</v>
      </c>
      <c r="H41" s="1" t="s">
        <v>15</v>
      </c>
      <c r="I41" s="1" t="s">
        <v>68</v>
      </c>
      <c r="J41" s="1">
        <f t="shared" si="2"/>
        <v>4500</v>
      </c>
      <c r="K41" s="1">
        <v>4500</v>
      </c>
      <c r="L41" s="1" t="s">
        <v>71</v>
      </c>
      <c r="M41" s="1">
        <v>1</v>
      </c>
      <c r="N41" s="1">
        <f t="shared" si="3"/>
        <v>4500</v>
      </c>
      <c r="O41" s="1" t="s">
        <v>72</v>
      </c>
      <c r="P41" s="1" t="s">
        <v>26</v>
      </c>
      <c r="Q41" s="1">
        <f>dataorders_enriched_csv_1[[#This Row],[Unit-price]]*dataorders_enriched_csv_1[[#This Row],[quantity]]</f>
        <v>4500</v>
      </c>
    </row>
    <row r="42" spans="1:17" x14ac:dyDescent="0.3">
      <c r="A42" s="1">
        <v>1027</v>
      </c>
      <c r="B42" s="2">
        <v>46296</v>
      </c>
      <c r="C42" s="1" t="s">
        <v>80</v>
      </c>
      <c r="D42" s="1" t="str">
        <f>PROPER(TRIM(dataorders_enriched_csv_1[[#This Row],[first_name]]))</f>
        <v>Aarav</v>
      </c>
      <c r="E42" s="1" t="str">
        <f>PROPER(TRIM(dataorders_enriched_csv_1[[#This Row],[last_name]]))</f>
        <v>Sharma</v>
      </c>
      <c r="F42" s="1" t="s">
        <v>81</v>
      </c>
      <c r="G42" s="1" t="s">
        <v>33</v>
      </c>
      <c r="H42" s="1" t="s">
        <v>34</v>
      </c>
      <c r="I42" s="1" t="s">
        <v>68</v>
      </c>
      <c r="J42" s="1">
        <f t="shared" si="2"/>
        <v>4500</v>
      </c>
      <c r="K42" s="1">
        <v>4500</v>
      </c>
      <c r="L42" s="1" t="s">
        <v>71</v>
      </c>
      <c r="M42" s="1">
        <v>1</v>
      </c>
      <c r="N42" s="1">
        <f t="shared" si="3"/>
        <v>4500</v>
      </c>
      <c r="O42" s="1" t="s">
        <v>72</v>
      </c>
      <c r="P42" s="1" t="s">
        <v>26</v>
      </c>
      <c r="Q42" s="1">
        <f>dataorders_enriched_csv_1[[#This Row],[Unit-price]]*dataorders_enriched_csv_1[[#This Row],[quantity]]</f>
        <v>4500</v>
      </c>
    </row>
    <row r="43" spans="1:17" hidden="1" x14ac:dyDescent="0.3">
      <c r="A43" s="1">
        <v>1042</v>
      </c>
      <c r="B43" s="2">
        <v>46296</v>
      </c>
      <c r="C43" s="1" t="s">
        <v>46</v>
      </c>
      <c r="D43" s="1" t="str">
        <f>PROPER(TRIM(dataorders_enriched_csv_1[[#This Row],[first_name]]))</f>
        <v>Lakshmi</v>
      </c>
      <c r="E43" s="1" t="str">
        <f>PROPER(TRIM(dataorders_enriched_csv_1[[#This Row],[last_name]]))</f>
        <v>Kapoor</v>
      </c>
      <c r="F43" s="1" t="s">
        <v>47</v>
      </c>
      <c r="G43" s="1" t="s">
        <v>40</v>
      </c>
      <c r="H43" s="1" t="s">
        <v>41</v>
      </c>
      <c r="I43" s="1" t="s">
        <v>88</v>
      </c>
      <c r="J43" s="1">
        <f t="shared" si="2"/>
        <v>1100</v>
      </c>
      <c r="K43" s="1">
        <v>1100</v>
      </c>
      <c r="L43" s="1" t="s">
        <v>91</v>
      </c>
      <c r="M43" s="1">
        <v>1</v>
      </c>
      <c r="N43" s="1">
        <f t="shared" si="3"/>
        <v>1100</v>
      </c>
      <c r="O43" s="1" t="s">
        <v>92</v>
      </c>
      <c r="P43" s="1" t="s">
        <v>19</v>
      </c>
      <c r="Q43" s="1">
        <f>dataorders_enriched_csv_1[[#This Row],[Unit-price]]*dataorders_enriched_csv_1[[#This Row],[quantity]]</f>
        <v>1100</v>
      </c>
    </row>
    <row r="44" spans="1:17" x14ac:dyDescent="0.3">
      <c r="A44" s="1">
        <v>1055</v>
      </c>
      <c r="B44" s="2">
        <v>46296</v>
      </c>
      <c r="C44" s="1" t="s">
        <v>51</v>
      </c>
      <c r="D44" s="1" t="str">
        <f>PROPER(TRIM(dataorders_enriched_csv_1[[#This Row],[first_name]]))</f>
        <v>Swati</v>
      </c>
      <c r="E44" s="1" t="str">
        <f>PROPER(TRIM(dataorders_enriched_csv_1[[#This Row],[last_name]]))</f>
        <v>Banerjee</v>
      </c>
      <c r="F44" s="1" t="s">
        <v>52</v>
      </c>
      <c r="G44" s="1" t="s">
        <v>40</v>
      </c>
      <c r="H44" s="1" t="s">
        <v>41</v>
      </c>
      <c r="I44" s="1" t="s">
        <v>68</v>
      </c>
      <c r="J44" s="1">
        <f t="shared" si="2"/>
        <v>4500</v>
      </c>
      <c r="K44" s="1">
        <v>4500</v>
      </c>
      <c r="L44" s="1" t="s">
        <v>71</v>
      </c>
      <c r="M44" s="1">
        <v>1</v>
      </c>
      <c r="N44" s="1">
        <f t="shared" si="3"/>
        <v>4500</v>
      </c>
      <c r="O44" s="1" t="s">
        <v>72</v>
      </c>
      <c r="P44" s="1" t="s">
        <v>26</v>
      </c>
      <c r="Q44" s="1">
        <f>dataorders_enriched_csv_1[[#This Row],[Unit-price]]*dataorders_enriched_csv_1[[#This Row],[quantity]]</f>
        <v>4500</v>
      </c>
    </row>
    <row r="45" spans="1:17" hidden="1" x14ac:dyDescent="0.3">
      <c r="A45" s="1">
        <v>1044</v>
      </c>
      <c r="B45" s="2">
        <v>46296</v>
      </c>
      <c r="C45" s="1" t="s">
        <v>60</v>
      </c>
      <c r="D45" s="1" t="str">
        <f>PROPER(TRIM(dataorders_enriched_csv_1[[#This Row],[first_name]]))</f>
        <v>Meera</v>
      </c>
      <c r="E45" s="1" t="str">
        <f>PROPER(TRIM(dataorders_enriched_csv_1[[#This Row],[last_name]]))</f>
        <v>Patil</v>
      </c>
      <c r="F45" s="1" t="s">
        <v>61</v>
      </c>
      <c r="G45" s="1" t="s">
        <v>40</v>
      </c>
      <c r="H45" s="1" t="s">
        <v>41</v>
      </c>
      <c r="I45" s="1" t="s">
        <v>16</v>
      </c>
      <c r="J45" s="1">
        <f t="shared" si="2"/>
        <v>3600</v>
      </c>
      <c r="K45" s="1">
        <v>3600</v>
      </c>
      <c r="L45" s="1" t="s">
        <v>24</v>
      </c>
      <c r="M45" s="1">
        <v>1</v>
      </c>
      <c r="N45" s="1">
        <f t="shared" si="3"/>
        <v>3600</v>
      </c>
      <c r="O45" s="1" t="s">
        <v>25</v>
      </c>
      <c r="P45" s="1" t="s">
        <v>19</v>
      </c>
      <c r="Q45" s="1">
        <f>dataorders_enriched_csv_1[[#This Row],[Unit-price]]*dataorders_enriched_csv_1[[#This Row],[quantity]]</f>
        <v>3600</v>
      </c>
    </row>
    <row r="46" spans="1:17" x14ac:dyDescent="0.3">
      <c r="A46" s="1">
        <v>1073</v>
      </c>
      <c r="B46" s="2">
        <v>46327</v>
      </c>
      <c r="C46" s="1" t="s">
        <v>76</v>
      </c>
      <c r="D46" s="1" t="str">
        <f>PROPER(TRIM(dataorders_enriched_csv_1[[#This Row],[first_name]]))</f>
        <v>Harsh</v>
      </c>
      <c r="E46" s="1" t="str">
        <f>PROPER(TRIM(dataorders_enriched_csv_1[[#This Row],[last_name]]))</f>
        <v>Chopra</v>
      </c>
      <c r="F46" s="1" t="s">
        <v>77</v>
      </c>
      <c r="G46" s="1" t="s">
        <v>14</v>
      </c>
      <c r="H46" s="1" t="s">
        <v>15</v>
      </c>
      <c r="I46" s="1" t="s">
        <v>68</v>
      </c>
      <c r="J46" s="1">
        <f t="shared" si="2"/>
        <v>4500</v>
      </c>
      <c r="K46" s="1">
        <v>4500</v>
      </c>
      <c r="L46" s="1" t="s">
        <v>71</v>
      </c>
      <c r="M46" s="1">
        <v>1</v>
      </c>
      <c r="N46" s="1">
        <f t="shared" si="3"/>
        <v>4500</v>
      </c>
      <c r="O46" s="1" t="s">
        <v>72</v>
      </c>
      <c r="P46" s="1" t="s">
        <v>26</v>
      </c>
      <c r="Q46" s="1">
        <f>dataorders_enriched_csv_1[[#This Row],[Unit-price]]*dataorders_enriched_csv_1[[#This Row],[quantity]]</f>
        <v>4500</v>
      </c>
    </row>
    <row r="47" spans="1:17" x14ac:dyDescent="0.3">
      <c r="A47" s="1">
        <v>1087</v>
      </c>
      <c r="B47" s="2">
        <v>46327</v>
      </c>
      <c r="C47" s="1" t="s">
        <v>36</v>
      </c>
      <c r="D47" s="1" t="str">
        <f>PROPER(TRIM(dataorders_enriched_csv_1[[#This Row],[first_name]]))</f>
        <v>Manoj</v>
      </c>
      <c r="E47" s="1" t="str">
        <f>PROPER(TRIM(dataorders_enriched_csv_1[[#This Row],[last_name]]))</f>
        <v>Desai</v>
      </c>
      <c r="F47" s="1" t="s">
        <v>37</v>
      </c>
      <c r="G47" s="1" t="s">
        <v>33</v>
      </c>
      <c r="H47" s="1" t="s">
        <v>34</v>
      </c>
      <c r="I47" s="1" t="s">
        <v>68</v>
      </c>
      <c r="J47" s="1">
        <f t="shared" si="2"/>
        <v>4500</v>
      </c>
      <c r="K47" s="1">
        <v>4500</v>
      </c>
      <c r="L47" s="1" t="s">
        <v>71</v>
      </c>
      <c r="M47" s="1">
        <v>1</v>
      </c>
      <c r="N47" s="1">
        <f t="shared" si="3"/>
        <v>4500</v>
      </c>
      <c r="O47" s="1" t="s">
        <v>72</v>
      </c>
      <c r="P47" s="1" t="s">
        <v>26</v>
      </c>
      <c r="Q47" s="1">
        <f>dataorders_enriched_csv_1[[#This Row],[Unit-price]]*dataorders_enriched_csv_1[[#This Row],[quantity]]</f>
        <v>4500</v>
      </c>
    </row>
    <row r="48" spans="1:17" hidden="1" x14ac:dyDescent="0.3">
      <c r="A48" s="1">
        <v>1047</v>
      </c>
      <c r="B48" s="2">
        <v>46296</v>
      </c>
      <c r="C48" s="1" t="s">
        <v>48</v>
      </c>
      <c r="D48" s="1" t="str">
        <f>PROPER(TRIM(dataorders_enriched_csv_1[[#This Row],[first_name]]))</f>
        <v>Isha</v>
      </c>
      <c r="E48" s="1" t="str">
        <f>PROPER(TRIM(dataorders_enriched_csv_1[[#This Row],[last_name]]))</f>
        <v>Pillai</v>
      </c>
      <c r="F48" s="1" t="s">
        <v>49</v>
      </c>
      <c r="G48" s="1" t="s">
        <v>22</v>
      </c>
      <c r="H48" s="1" t="s">
        <v>23</v>
      </c>
      <c r="I48" s="1" t="s">
        <v>68</v>
      </c>
      <c r="J48" s="1">
        <f t="shared" si="2"/>
        <v>3200</v>
      </c>
      <c r="K48" s="1">
        <v>3200</v>
      </c>
      <c r="L48" s="1" t="s">
        <v>74</v>
      </c>
      <c r="M48" s="1">
        <v>3</v>
      </c>
      <c r="N48" s="1">
        <f t="shared" si="3"/>
        <v>9600</v>
      </c>
      <c r="O48" s="1" t="s">
        <v>84</v>
      </c>
      <c r="P48" s="1" t="s">
        <v>50</v>
      </c>
      <c r="Q48" s="1">
        <f>dataorders_enriched_csv_1[[#This Row],[Unit-price]]*dataorders_enriched_csv_1[[#This Row],[quantity]]</f>
        <v>9600</v>
      </c>
    </row>
    <row r="49" spans="1:17" x14ac:dyDescent="0.3">
      <c r="A49" s="1">
        <v>1045</v>
      </c>
      <c r="B49" s="2">
        <v>46296</v>
      </c>
      <c r="C49" s="1" t="s">
        <v>62</v>
      </c>
      <c r="D49" s="1" t="str">
        <f>PROPER(TRIM(dataorders_enriched_csv_1[[#This Row],[first_name]]))</f>
        <v>Nisha</v>
      </c>
      <c r="E49" s="1" t="str">
        <f>PROPER(TRIM(dataorders_enriched_csv_1[[#This Row],[last_name]]))</f>
        <v>Mishra</v>
      </c>
      <c r="F49" s="1" t="s">
        <v>63</v>
      </c>
      <c r="G49" s="1" t="s">
        <v>22</v>
      </c>
      <c r="H49" s="1" t="s">
        <v>23</v>
      </c>
      <c r="I49" s="1" t="s">
        <v>16</v>
      </c>
      <c r="J49" s="1">
        <f t="shared" si="2"/>
        <v>1400</v>
      </c>
      <c r="K49" s="1">
        <v>1400</v>
      </c>
      <c r="L49" s="1" t="s">
        <v>17</v>
      </c>
      <c r="M49" s="1">
        <v>3</v>
      </c>
      <c r="N49" s="1">
        <f t="shared" si="3"/>
        <v>4200</v>
      </c>
      <c r="O49" s="1" t="s">
        <v>64</v>
      </c>
      <c r="P49" s="1" t="s">
        <v>26</v>
      </c>
      <c r="Q49" s="1">
        <f>dataorders_enriched_csv_1[[#This Row],[Unit-price]]*dataorders_enriched_csv_1[[#This Row],[quantity]]</f>
        <v>4200</v>
      </c>
    </row>
    <row r="50" spans="1:17" x14ac:dyDescent="0.3">
      <c r="A50" s="1">
        <v>1018</v>
      </c>
      <c r="B50" s="2">
        <v>46266</v>
      </c>
      <c r="C50" s="1" t="s">
        <v>36</v>
      </c>
      <c r="D50" s="1" t="str">
        <f>PROPER(TRIM(dataorders_enriched_csv_1[[#This Row],[first_name]]))</f>
        <v>Manoj</v>
      </c>
      <c r="E50" s="1" t="str">
        <f>PROPER(TRIM(dataorders_enriched_csv_1[[#This Row],[last_name]]))</f>
        <v>Desai</v>
      </c>
      <c r="F50" s="1" t="s">
        <v>37</v>
      </c>
      <c r="G50" s="1" t="s">
        <v>33</v>
      </c>
      <c r="H50" s="1" t="s">
        <v>34</v>
      </c>
      <c r="I50" s="1" t="s">
        <v>88</v>
      </c>
      <c r="J50" s="1">
        <f t="shared" si="2"/>
        <v>1900</v>
      </c>
      <c r="K50" s="1">
        <v>1900</v>
      </c>
      <c r="L50" s="1" t="s">
        <v>93</v>
      </c>
      <c r="M50" s="1">
        <v>2</v>
      </c>
      <c r="N50" s="1">
        <f t="shared" si="3"/>
        <v>3800</v>
      </c>
      <c r="O50" s="1" t="s">
        <v>96</v>
      </c>
      <c r="P50" s="1" t="s">
        <v>26</v>
      </c>
      <c r="Q50" s="1">
        <f>dataorders_enriched_csv_1[[#This Row],[Unit-price]]*dataorders_enriched_csv_1[[#This Row],[quantity]]</f>
        <v>3800</v>
      </c>
    </row>
    <row r="51" spans="1:17" x14ac:dyDescent="0.3">
      <c r="A51" s="1">
        <v>1012</v>
      </c>
      <c r="B51" s="2">
        <v>46266</v>
      </c>
      <c r="C51" s="1" t="s">
        <v>20</v>
      </c>
      <c r="D51" s="1" t="str">
        <f>PROPER(TRIM(dataorders_enriched_csv_1[[#This Row],[first_name]]))</f>
        <v>Sneha</v>
      </c>
      <c r="E51" s="1" t="str">
        <f>PROPER(TRIM(dataorders_enriched_csv_1[[#This Row],[last_name]]))</f>
        <v>Das</v>
      </c>
      <c r="F51" s="1" t="s">
        <v>21</v>
      </c>
      <c r="G51" s="1" t="s">
        <v>22</v>
      </c>
      <c r="H51" s="1" t="s">
        <v>23</v>
      </c>
      <c r="I51" s="1" t="s">
        <v>16</v>
      </c>
      <c r="J51" s="1">
        <f t="shared" si="2"/>
        <v>3600</v>
      </c>
      <c r="K51" s="1">
        <v>3600</v>
      </c>
      <c r="L51" s="1" t="s">
        <v>24</v>
      </c>
      <c r="M51" s="1">
        <v>1</v>
      </c>
      <c r="N51" s="1">
        <f t="shared" si="3"/>
        <v>3600</v>
      </c>
      <c r="O51" s="1" t="s">
        <v>25</v>
      </c>
      <c r="P51" s="1" t="s">
        <v>26</v>
      </c>
      <c r="Q51" s="1">
        <f>dataorders_enriched_csv_1[[#This Row],[Unit-price]]*dataorders_enriched_csv_1[[#This Row],[quantity]]</f>
        <v>3600</v>
      </c>
    </row>
    <row r="52" spans="1:17" x14ac:dyDescent="0.3">
      <c r="A52" s="1">
        <v>1023</v>
      </c>
      <c r="B52" s="2">
        <v>46266</v>
      </c>
      <c r="C52" s="1" t="s">
        <v>36</v>
      </c>
      <c r="D52" s="1" t="str">
        <f>PROPER(TRIM(dataorders_enriched_csv_1[[#This Row],[first_name]]))</f>
        <v>Manoj</v>
      </c>
      <c r="E52" s="1" t="str">
        <f>PROPER(TRIM(dataorders_enriched_csv_1[[#This Row],[last_name]]))</f>
        <v>Desai</v>
      </c>
      <c r="F52" s="1" t="s">
        <v>37</v>
      </c>
      <c r="G52" s="1" t="s">
        <v>33</v>
      </c>
      <c r="H52" s="1" t="s">
        <v>34</v>
      </c>
      <c r="I52" s="1" t="s">
        <v>16</v>
      </c>
      <c r="J52" s="1">
        <f t="shared" si="2"/>
        <v>3600</v>
      </c>
      <c r="K52" s="1">
        <v>3600</v>
      </c>
      <c r="L52" s="1" t="s">
        <v>24</v>
      </c>
      <c r="M52" s="1">
        <v>1</v>
      </c>
      <c r="N52" s="1">
        <f t="shared" si="3"/>
        <v>3600</v>
      </c>
      <c r="O52" s="1" t="s">
        <v>25</v>
      </c>
      <c r="P52" s="1" t="s">
        <v>26</v>
      </c>
      <c r="Q52" s="1">
        <f>dataorders_enriched_csv_1[[#This Row],[Unit-price]]*dataorders_enriched_csv_1[[#This Row],[quantity]]</f>
        <v>3600</v>
      </c>
    </row>
    <row r="53" spans="1:17" hidden="1" x14ac:dyDescent="0.3">
      <c r="A53" s="1">
        <v>1052</v>
      </c>
      <c r="B53" s="2">
        <v>46296</v>
      </c>
      <c r="C53" s="1" t="s">
        <v>43</v>
      </c>
      <c r="D53" s="1" t="str">
        <f>PROPER(TRIM(dataorders_enriched_csv_1[[#This Row],[first_name]]))</f>
        <v>Aditya</v>
      </c>
      <c r="E53" s="1" t="str">
        <f>PROPER(TRIM(dataorders_enriched_csv_1[[#This Row],[last_name]]))</f>
        <v>Rao</v>
      </c>
      <c r="F53" s="1" t="s">
        <v>44</v>
      </c>
      <c r="G53" s="1" t="s">
        <v>14</v>
      </c>
      <c r="H53" s="1" t="s">
        <v>15</v>
      </c>
      <c r="I53" s="1" t="s">
        <v>68</v>
      </c>
      <c r="J53" s="1">
        <f t="shared" si="2"/>
        <v>4500</v>
      </c>
      <c r="K53" s="1">
        <v>4500</v>
      </c>
      <c r="L53" s="1" t="s">
        <v>71</v>
      </c>
      <c r="M53" s="1">
        <v>3</v>
      </c>
      <c r="N53" s="1">
        <f t="shared" si="3"/>
        <v>13500</v>
      </c>
      <c r="O53" s="1" t="s">
        <v>73</v>
      </c>
      <c r="P53" s="1" t="s">
        <v>19</v>
      </c>
      <c r="Q53" s="1">
        <f>dataorders_enriched_csv_1[[#This Row],[Unit-price]]*dataorders_enriched_csv_1[[#This Row],[quantity]]</f>
        <v>13500</v>
      </c>
    </row>
    <row r="54" spans="1:17" x14ac:dyDescent="0.3">
      <c r="A54" s="1">
        <v>1050</v>
      </c>
      <c r="B54" s="2">
        <v>46296</v>
      </c>
      <c r="C54" s="1" t="s">
        <v>27</v>
      </c>
      <c r="D54" s="1" t="str">
        <f>PROPER(TRIM(dataorders_enriched_csv_1[[#This Row],[first_name]]))</f>
        <v>Pooja</v>
      </c>
      <c r="E54" s="1" t="str">
        <f>PROPER(TRIM(dataorders_enriched_csv_1[[#This Row],[last_name]]))</f>
        <v>Menon</v>
      </c>
      <c r="F54" s="1" t="s">
        <v>28</v>
      </c>
      <c r="G54" s="1" t="s">
        <v>22</v>
      </c>
      <c r="H54" s="1" t="s">
        <v>23</v>
      </c>
      <c r="I54" s="1" t="s">
        <v>16</v>
      </c>
      <c r="J54" s="1">
        <f t="shared" si="2"/>
        <v>3600</v>
      </c>
      <c r="K54" s="1">
        <v>3600</v>
      </c>
      <c r="L54" s="1" t="s">
        <v>24</v>
      </c>
      <c r="M54" s="1">
        <v>1</v>
      </c>
      <c r="N54" s="1">
        <f t="shared" si="3"/>
        <v>3600</v>
      </c>
      <c r="O54" s="1" t="s">
        <v>25</v>
      </c>
      <c r="P54" s="1" t="s">
        <v>26</v>
      </c>
      <c r="Q54" s="1">
        <f>dataorders_enriched_csv_1[[#This Row],[Unit-price]]*dataorders_enriched_csv_1[[#This Row],[quantity]]</f>
        <v>3600</v>
      </c>
    </row>
    <row r="55" spans="1:17" x14ac:dyDescent="0.3">
      <c r="A55" s="1">
        <v>1084</v>
      </c>
      <c r="B55" s="2">
        <v>46327</v>
      </c>
      <c r="C55" s="1" t="s">
        <v>46</v>
      </c>
      <c r="D55" s="1" t="str">
        <f>PROPER(TRIM(dataorders_enriched_csv_1[[#This Row],[first_name]]))</f>
        <v>Lakshmi</v>
      </c>
      <c r="E55" s="1" t="str">
        <f>PROPER(TRIM(dataorders_enriched_csv_1[[#This Row],[last_name]]))</f>
        <v>Kapoor</v>
      </c>
      <c r="F55" s="1" t="s">
        <v>47</v>
      </c>
      <c r="G55" s="1" t="s">
        <v>40</v>
      </c>
      <c r="H55" s="1" t="s">
        <v>41</v>
      </c>
      <c r="I55" s="1" t="s">
        <v>16</v>
      </c>
      <c r="J55" s="1">
        <f t="shared" si="2"/>
        <v>3600</v>
      </c>
      <c r="K55" s="1">
        <v>3600</v>
      </c>
      <c r="L55" s="1" t="s">
        <v>24</v>
      </c>
      <c r="M55" s="1">
        <v>1</v>
      </c>
      <c r="N55" s="1">
        <f t="shared" si="3"/>
        <v>3600</v>
      </c>
      <c r="O55" s="1" t="s">
        <v>25</v>
      </c>
      <c r="P55" s="1" t="s">
        <v>26</v>
      </c>
      <c r="Q55" s="1">
        <f>dataorders_enriched_csv_1[[#This Row],[Unit-price]]*dataorders_enriched_csv_1[[#This Row],[quantity]]</f>
        <v>3600</v>
      </c>
    </row>
    <row r="56" spans="1:17" x14ac:dyDescent="0.3">
      <c r="A56" s="1">
        <v>1017</v>
      </c>
      <c r="B56" s="2">
        <v>46266</v>
      </c>
      <c r="C56" s="1" t="s">
        <v>31</v>
      </c>
      <c r="D56" s="1" t="str">
        <f>PROPER(TRIM(dataorders_enriched_csv_1[[#This Row],[first_name]]))</f>
        <v>Vikram</v>
      </c>
      <c r="E56" s="1" t="str">
        <f>PROPER(TRIM(dataorders_enriched_csv_1[[#This Row],[last_name]]))</f>
        <v>Singh</v>
      </c>
      <c r="F56" s="1" t="s">
        <v>32</v>
      </c>
      <c r="G56" s="1" t="s">
        <v>33</v>
      </c>
      <c r="H56" s="1" t="s">
        <v>34</v>
      </c>
      <c r="I56" s="1" t="s">
        <v>68</v>
      </c>
      <c r="J56" s="1">
        <f t="shared" si="2"/>
        <v>3200</v>
      </c>
      <c r="K56" s="1">
        <v>3200</v>
      </c>
      <c r="L56" s="1" t="s">
        <v>74</v>
      </c>
      <c r="M56" s="1">
        <v>1</v>
      </c>
      <c r="N56" s="1">
        <f t="shared" si="3"/>
        <v>3200</v>
      </c>
      <c r="O56" s="1" t="s">
        <v>79</v>
      </c>
      <c r="P56" s="1" t="s">
        <v>26</v>
      </c>
      <c r="Q56" s="1">
        <f>dataorders_enriched_csv_1[[#This Row],[Unit-price]]*dataorders_enriched_csv_1[[#This Row],[quantity]]</f>
        <v>3200</v>
      </c>
    </row>
    <row r="57" spans="1:17" hidden="1" x14ac:dyDescent="0.3">
      <c r="A57" s="1">
        <v>1056</v>
      </c>
      <c r="B57" s="2">
        <v>46296</v>
      </c>
      <c r="C57" s="1" t="s">
        <v>27</v>
      </c>
      <c r="D57" s="1" t="str">
        <f>PROPER(TRIM(dataorders_enriched_csv_1[[#This Row],[first_name]]))</f>
        <v>Pooja</v>
      </c>
      <c r="E57" s="1" t="str">
        <f>PROPER(TRIM(dataorders_enriched_csv_1[[#This Row],[last_name]]))</f>
        <v>Menon</v>
      </c>
      <c r="F57" s="1" t="s">
        <v>28</v>
      </c>
      <c r="G57" s="1" t="s">
        <v>22</v>
      </c>
      <c r="H57" s="1" t="s">
        <v>23</v>
      </c>
      <c r="I57" s="1" t="s">
        <v>68</v>
      </c>
      <c r="J57" s="1">
        <f t="shared" si="2"/>
        <v>3200</v>
      </c>
      <c r="K57" s="1">
        <v>3200</v>
      </c>
      <c r="L57" s="1" t="s">
        <v>74</v>
      </c>
      <c r="M57" s="1">
        <v>1</v>
      </c>
      <c r="N57" s="1">
        <f t="shared" si="3"/>
        <v>3200</v>
      </c>
      <c r="O57" s="1" t="s">
        <v>79</v>
      </c>
      <c r="P57" s="1" t="s">
        <v>50</v>
      </c>
      <c r="Q57" s="1">
        <f>dataorders_enriched_csv_1[[#This Row],[Unit-price]]*dataorders_enriched_csv_1[[#This Row],[quantity]]</f>
        <v>3200</v>
      </c>
    </row>
    <row r="58" spans="1:17" hidden="1" x14ac:dyDescent="0.3">
      <c r="A58" s="1">
        <v>1057</v>
      </c>
      <c r="B58" s="2">
        <v>46327</v>
      </c>
      <c r="C58" s="1" t="s">
        <v>20</v>
      </c>
      <c r="D58" s="1" t="str">
        <f>PROPER(TRIM(dataorders_enriched_csv_1[[#This Row],[first_name]]))</f>
        <v>Sneha</v>
      </c>
      <c r="E58" s="1" t="str">
        <f>PROPER(TRIM(dataorders_enriched_csv_1[[#This Row],[last_name]]))</f>
        <v>Das</v>
      </c>
      <c r="F58" s="1" t="s">
        <v>21</v>
      </c>
      <c r="G58" s="1" t="s">
        <v>22</v>
      </c>
      <c r="H58" s="1" t="s">
        <v>23</v>
      </c>
      <c r="I58" s="1" t="s">
        <v>68</v>
      </c>
      <c r="J58" s="1">
        <f t="shared" si="2"/>
        <v>2800</v>
      </c>
      <c r="K58" s="1">
        <v>2800</v>
      </c>
      <c r="L58" s="1" t="s">
        <v>69</v>
      </c>
      <c r="M58" s="1">
        <v>1</v>
      </c>
      <c r="N58" s="1">
        <f t="shared" si="3"/>
        <v>2800</v>
      </c>
      <c r="O58" s="1" t="s">
        <v>18</v>
      </c>
      <c r="P58" s="1" t="s">
        <v>19</v>
      </c>
      <c r="Q58" s="1">
        <f>dataorders_enriched_csv_1[[#This Row],[Unit-price]]*dataorders_enriched_csv_1[[#This Row],[quantity]]</f>
        <v>2800</v>
      </c>
    </row>
    <row r="59" spans="1:17" hidden="1" x14ac:dyDescent="0.3">
      <c r="A59" s="1">
        <v>1058</v>
      </c>
      <c r="B59" s="2">
        <v>46327</v>
      </c>
      <c r="C59" s="1" t="s">
        <v>86</v>
      </c>
      <c r="D59" s="1" t="str">
        <f>PROPER(TRIM(dataorders_enriched_csv_1[[#This Row],[first_name]]))</f>
        <v>Suresh</v>
      </c>
      <c r="E59" s="1" t="str">
        <f>PROPER(TRIM(dataorders_enriched_csv_1[[#This Row],[last_name]]))</f>
        <v>Bose</v>
      </c>
      <c r="F59" s="1" t="s">
        <v>87</v>
      </c>
      <c r="G59" s="1" t="s">
        <v>33</v>
      </c>
      <c r="H59" s="1" t="s">
        <v>34</v>
      </c>
      <c r="I59" s="1" t="s">
        <v>88</v>
      </c>
      <c r="J59" s="1">
        <f t="shared" si="2"/>
        <v>1900</v>
      </c>
      <c r="K59" s="1">
        <v>1900</v>
      </c>
      <c r="L59" s="1" t="s">
        <v>93</v>
      </c>
      <c r="M59" s="1">
        <v>1</v>
      </c>
      <c r="N59" s="1">
        <f t="shared" si="3"/>
        <v>1900</v>
      </c>
      <c r="O59" s="1" t="s">
        <v>94</v>
      </c>
      <c r="P59" s="1" t="s">
        <v>19</v>
      </c>
      <c r="Q59" s="1">
        <f>dataorders_enriched_csv_1[[#This Row],[Unit-price]]*dataorders_enriched_csv_1[[#This Row],[quantity]]</f>
        <v>1900</v>
      </c>
    </row>
    <row r="60" spans="1:17" x14ac:dyDescent="0.3">
      <c r="A60" s="1">
        <v>1028</v>
      </c>
      <c r="B60" s="2">
        <v>46296</v>
      </c>
      <c r="C60" s="1" t="s">
        <v>51</v>
      </c>
      <c r="D60" s="1" t="str">
        <f>PROPER(TRIM(dataorders_enriched_csv_1[[#This Row],[first_name]]))</f>
        <v>Swati</v>
      </c>
      <c r="E60" s="1" t="str">
        <f>PROPER(TRIM(dataorders_enriched_csv_1[[#This Row],[last_name]]))</f>
        <v>Banerjee</v>
      </c>
      <c r="F60" s="1" t="s">
        <v>52</v>
      </c>
      <c r="G60" s="1" t="s">
        <v>40</v>
      </c>
      <c r="H60" s="1" t="s">
        <v>41</v>
      </c>
      <c r="I60" s="1" t="s">
        <v>68</v>
      </c>
      <c r="J60" s="1">
        <f t="shared" si="2"/>
        <v>3200</v>
      </c>
      <c r="K60" s="1">
        <v>3200</v>
      </c>
      <c r="L60" s="1" t="s">
        <v>74</v>
      </c>
      <c r="M60" s="1">
        <v>1</v>
      </c>
      <c r="N60" s="1">
        <f t="shared" si="3"/>
        <v>3200</v>
      </c>
      <c r="O60" s="1" t="s">
        <v>79</v>
      </c>
      <c r="P60" s="1" t="s">
        <v>26</v>
      </c>
      <c r="Q60" s="1">
        <f>dataorders_enriched_csv_1[[#This Row],[Unit-price]]*dataorders_enriched_csv_1[[#This Row],[quantity]]</f>
        <v>3200</v>
      </c>
    </row>
    <row r="61" spans="1:17" hidden="1" x14ac:dyDescent="0.3">
      <c r="A61" s="1">
        <v>1060</v>
      </c>
      <c r="B61" s="2">
        <v>46327</v>
      </c>
      <c r="C61" s="1" t="s">
        <v>86</v>
      </c>
      <c r="D61" s="1" t="str">
        <f>PROPER(TRIM(dataorders_enriched_csv_1[[#This Row],[first_name]]))</f>
        <v>Suresh</v>
      </c>
      <c r="E61" s="1" t="str">
        <f>PROPER(TRIM(dataorders_enriched_csv_1[[#This Row],[last_name]]))</f>
        <v>Bose</v>
      </c>
      <c r="F61" s="1" t="s">
        <v>87</v>
      </c>
      <c r="G61" s="1" t="s">
        <v>33</v>
      </c>
      <c r="H61" s="1" t="s">
        <v>34</v>
      </c>
      <c r="I61" s="1" t="s">
        <v>68</v>
      </c>
      <c r="J61" s="1">
        <f t="shared" si="2"/>
        <v>3200</v>
      </c>
      <c r="K61" s="1">
        <v>3200</v>
      </c>
      <c r="L61" s="1" t="s">
        <v>74</v>
      </c>
      <c r="M61" s="1">
        <v>3</v>
      </c>
      <c r="N61" s="1">
        <f t="shared" si="3"/>
        <v>9600</v>
      </c>
      <c r="O61" s="1" t="s">
        <v>84</v>
      </c>
      <c r="P61" s="1" t="s">
        <v>50</v>
      </c>
      <c r="Q61" s="1">
        <f>dataorders_enriched_csv_1[[#This Row],[Unit-price]]*dataorders_enriched_csv_1[[#This Row],[quantity]]</f>
        <v>9600</v>
      </c>
    </row>
    <row r="62" spans="1:17" x14ac:dyDescent="0.3">
      <c r="A62" s="1">
        <v>1066</v>
      </c>
      <c r="B62" s="2">
        <v>46327</v>
      </c>
      <c r="C62" s="1" t="s">
        <v>86</v>
      </c>
      <c r="D62" s="1" t="str">
        <f>PROPER(TRIM(dataorders_enriched_csv_1[[#This Row],[first_name]]))</f>
        <v>Suresh</v>
      </c>
      <c r="E62" s="1" t="str">
        <f>PROPER(TRIM(dataorders_enriched_csv_1[[#This Row],[last_name]]))</f>
        <v>Bose</v>
      </c>
      <c r="F62" s="1" t="s">
        <v>87</v>
      </c>
      <c r="G62" s="1" t="s">
        <v>33</v>
      </c>
      <c r="H62" s="1" t="s">
        <v>34</v>
      </c>
      <c r="I62" s="1" t="s">
        <v>68</v>
      </c>
      <c r="J62" s="1">
        <f t="shared" si="2"/>
        <v>3200</v>
      </c>
      <c r="K62" s="1">
        <v>3200</v>
      </c>
      <c r="L62" s="1" t="s">
        <v>74</v>
      </c>
      <c r="M62" s="1">
        <v>1</v>
      </c>
      <c r="N62" s="1">
        <f t="shared" si="3"/>
        <v>3200</v>
      </c>
      <c r="O62" s="1" t="s">
        <v>79</v>
      </c>
      <c r="P62" s="1" t="s">
        <v>26</v>
      </c>
      <c r="Q62" s="1">
        <f>dataorders_enriched_csv_1[[#This Row],[Unit-price]]*dataorders_enriched_csv_1[[#This Row],[quantity]]</f>
        <v>3200</v>
      </c>
    </row>
    <row r="63" spans="1:17" x14ac:dyDescent="0.3">
      <c r="A63" s="1">
        <v>1085</v>
      </c>
      <c r="B63" s="2">
        <v>46327</v>
      </c>
      <c r="C63" s="1" t="s">
        <v>80</v>
      </c>
      <c r="D63" s="1" t="str">
        <f>PROPER(TRIM(dataorders_enriched_csv_1[[#This Row],[first_name]]))</f>
        <v>Aarav</v>
      </c>
      <c r="E63" s="1" t="str">
        <f>PROPER(TRIM(dataorders_enriched_csv_1[[#This Row],[last_name]]))</f>
        <v>Sharma</v>
      </c>
      <c r="F63" s="1" t="s">
        <v>81</v>
      </c>
      <c r="G63" s="1" t="s">
        <v>33</v>
      </c>
      <c r="H63" s="1" t="s">
        <v>34</v>
      </c>
      <c r="I63" s="1" t="s">
        <v>68</v>
      </c>
      <c r="J63" s="1">
        <f t="shared" si="2"/>
        <v>3200</v>
      </c>
      <c r="K63" s="1">
        <v>3200</v>
      </c>
      <c r="L63" s="1" t="s">
        <v>74</v>
      </c>
      <c r="M63" s="1">
        <v>1</v>
      </c>
      <c r="N63" s="1">
        <f t="shared" si="3"/>
        <v>3200</v>
      </c>
      <c r="O63" s="1" t="s">
        <v>79</v>
      </c>
      <c r="P63" s="1" t="s">
        <v>26</v>
      </c>
      <c r="Q63" s="1">
        <f>dataorders_enriched_csv_1[[#This Row],[Unit-price]]*dataorders_enriched_csv_1[[#This Row],[quantity]]</f>
        <v>3200</v>
      </c>
    </row>
    <row r="64" spans="1:17" hidden="1" x14ac:dyDescent="0.3">
      <c r="A64" s="1">
        <v>1063</v>
      </c>
      <c r="B64" s="2">
        <v>46327</v>
      </c>
      <c r="C64" s="1" t="s">
        <v>60</v>
      </c>
      <c r="D64" s="1" t="str">
        <f>PROPER(TRIM(dataorders_enriched_csv_1[[#This Row],[first_name]]))</f>
        <v>Meera</v>
      </c>
      <c r="E64" s="1" t="str">
        <f>PROPER(TRIM(dataorders_enriched_csv_1[[#This Row],[last_name]]))</f>
        <v>Patil</v>
      </c>
      <c r="F64" s="1" t="s">
        <v>61</v>
      </c>
      <c r="G64" s="1" t="s">
        <v>40</v>
      </c>
      <c r="H64" s="1" t="s">
        <v>41</v>
      </c>
      <c r="I64" s="1" t="s">
        <v>88</v>
      </c>
      <c r="J64" s="1">
        <f t="shared" si="2"/>
        <v>5200</v>
      </c>
      <c r="K64" s="1">
        <v>5200</v>
      </c>
      <c r="L64" s="1" t="s">
        <v>89</v>
      </c>
      <c r="M64" s="1">
        <v>1</v>
      </c>
      <c r="N64" s="1">
        <f t="shared" si="3"/>
        <v>5200</v>
      </c>
      <c r="O64" s="1" t="s">
        <v>98</v>
      </c>
      <c r="P64" s="1" t="s">
        <v>19</v>
      </c>
      <c r="Q64" s="1">
        <f>dataorders_enriched_csv_1[[#This Row],[Unit-price]]*dataorders_enriched_csv_1[[#This Row],[quantity]]</f>
        <v>5200</v>
      </c>
    </row>
    <row r="65" spans="1:17" hidden="1" x14ac:dyDescent="0.3">
      <c r="A65" s="1">
        <v>1064</v>
      </c>
      <c r="B65" s="2">
        <v>46327</v>
      </c>
      <c r="C65" s="1" t="s">
        <v>48</v>
      </c>
      <c r="D65" s="1" t="str">
        <f>PROPER(TRIM(dataorders_enriched_csv_1[[#This Row],[first_name]]))</f>
        <v>Isha</v>
      </c>
      <c r="E65" s="1" t="str">
        <f>PROPER(TRIM(dataorders_enriched_csv_1[[#This Row],[last_name]]))</f>
        <v>Pillai</v>
      </c>
      <c r="F65" s="1" t="s">
        <v>49</v>
      </c>
      <c r="G65" s="1" t="s">
        <v>22</v>
      </c>
      <c r="H65" s="1" t="s">
        <v>23</v>
      </c>
      <c r="I65" s="1" t="s">
        <v>68</v>
      </c>
      <c r="J65" s="1">
        <f t="shared" si="2"/>
        <v>2800</v>
      </c>
      <c r="K65" s="1">
        <v>2800</v>
      </c>
      <c r="L65" s="1" t="s">
        <v>69</v>
      </c>
      <c r="M65" s="1">
        <v>1</v>
      </c>
      <c r="N65" s="1" t="e">
        <f t="shared" si="3"/>
        <v>#VALUE!</v>
      </c>
      <c r="O65" s="1" t="s">
        <v>70</v>
      </c>
      <c r="P65" s="1" t="s">
        <v>19</v>
      </c>
      <c r="Q65" s="1">
        <f>dataorders_enriched_csv_1[[#This Row],[Unit-price]]*dataorders_enriched_csv_1[[#This Row],[quantity]]</f>
        <v>2800</v>
      </c>
    </row>
    <row r="66" spans="1:17" x14ac:dyDescent="0.3">
      <c r="A66" s="1">
        <v>1088</v>
      </c>
      <c r="B66" s="2">
        <v>46327</v>
      </c>
      <c r="C66" s="1" t="s">
        <v>20</v>
      </c>
      <c r="D66" s="1" t="str">
        <f>PROPER(TRIM(dataorders_enriched_csv_1[[#This Row],[first_name]]))</f>
        <v>Sneha</v>
      </c>
      <c r="E66" s="1" t="str">
        <f>PROPER(TRIM(dataorders_enriched_csv_1[[#This Row],[last_name]]))</f>
        <v>Das</v>
      </c>
      <c r="F66" s="1" t="s">
        <v>21</v>
      </c>
      <c r="G66" s="1" t="s">
        <v>22</v>
      </c>
      <c r="H66" s="1" t="s">
        <v>23</v>
      </c>
      <c r="I66" s="1" t="s">
        <v>68</v>
      </c>
      <c r="J66" s="1">
        <f t="shared" ref="J66:J91" si="4">VALUE(TRIM(CLEAN(K66)))</f>
        <v>3200</v>
      </c>
      <c r="K66" s="1">
        <v>3200</v>
      </c>
      <c r="L66" s="1" t="s">
        <v>74</v>
      </c>
      <c r="M66" s="1">
        <v>1</v>
      </c>
      <c r="N66" s="1">
        <f t="shared" ref="N66:N91" si="5">VALUE(TRIM(CLEAN(O66)))</f>
        <v>3200</v>
      </c>
      <c r="O66" s="1" t="s">
        <v>79</v>
      </c>
      <c r="P66" s="1" t="s">
        <v>26</v>
      </c>
      <c r="Q66" s="1">
        <f>dataorders_enriched_csv_1[[#This Row],[Unit-price]]*dataorders_enriched_csv_1[[#This Row],[quantity]]</f>
        <v>3200</v>
      </c>
    </row>
    <row r="67" spans="1:17" x14ac:dyDescent="0.3">
      <c r="A67" s="1">
        <v>1038</v>
      </c>
      <c r="B67" s="2">
        <v>46296</v>
      </c>
      <c r="C67" s="1" t="s">
        <v>58</v>
      </c>
      <c r="D67" s="1" t="str">
        <f>PROPER(TRIM(dataorders_enriched_csv_1[[#This Row],[first_name]]))</f>
        <v>Rahul</v>
      </c>
      <c r="E67" s="1" t="str">
        <f>PROPER(TRIM(dataorders_enriched_csv_1[[#This Row],[last_name]]))</f>
        <v>Verma</v>
      </c>
      <c r="F67" s="1" t="s">
        <v>59</v>
      </c>
      <c r="G67" s="1" t="s">
        <v>14</v>
      </c>
      <c r="H67" s="1" t="s">
        <v>15</v>
      </c>
      <c r="I67" s="1" t="s">
        <v>16</v>
      </c>
      <c r="J67" s="1">
        <f t="shared" si="4"/>
        <v>1400</v>
      </c>
      <c r="K67" s="1">
        <v>1400</v>
      </c>
      <c r="L67" s="1" t="s">
        <v>17</v>
      </c>
      <c r="M67" s="1">
        <v>2</v>
      </c>
      <c r="N67" s="1">
        <f t="shared" si="5"/>
        <v>2800</v>
      </c>
      <c r="O67" s="1" t="s">
        <v>18</v>
      </c>
      <c r="P67" s="1" t="s">
        <v>26</v>
      </c>
      <c r="Q67" s="1">
        <f>dataorders_enriched_csv_1[[#This Row],[Unit-price]]*dataorders_enriched_csv_1[[#This Row],[quantity]]</f>
        <v>2800</v>
      </c>
    </row>
    <row r="68" spans="1:17" x14ac:dyDescent="0.3">
      <c r="A68" s="1">
        <v>1041</v>
      </c>
      <c r="B68" s="2">
        <v>46296</v>
      </c>
      <c r="C68" s="1" t="s">
        <v>54</v>
      </c>
      <c r="D68" s="1" t="str">
        <f>PROPER(TRIM(dataorders_enriched_csv_1[[#This Row],[first_name]]))</f>
        <v>Divya</v>
      </c>
      <c r="E68" s="1" t="str">
        <f>PROPER(TRIM(dataorders_enriched_csv_1[[#This Row],[last_name]]))</f>
        <v>Gupta</v>
      </c>
      <c r="F68" s="1" t="s">
        <v>55</v>
      </c>
      <c r="G68" s="1" t="s">
        <v>22</v>
      </c>
      <c r="H68" s="1" t="s">
        <v>23</v>
      </c>
      <c r="I68" s="1" t="s">
        <v>68</v>
      </c>
      <c r="J68" s="1">
        <f t="shared" si="4"/>
        <v>2800</v>
      </c>
      <c r="K68" s="1">
        <v>2800</v>
      </c>
      <c r="L68" s="1" t="s">
        <v>69</v>
      </c>
      <c r="M68" s="1">
        <v>1</v>
      </c>
      <c r="N68" s="1">
        <f t="shared" si="5"/>
        <v>2800</v>
      </c>
      <c r="O68" s="1" t="s">
        <v>18</v>
      </c>
      <c r="P68" s="1" t="s">
        <v>26</v>
      </c>
      <c r="Q68" s="1">
        <f>dataorders_enriched_csv_1[[#This Row],[Unit-price]]*dataorders_enriched_csv_1[[#This Row],[quantity]]</f>
        <v>2800</v>
      </c>
    </row>
    <row r="69" spans="1:17" hidden="1" x14ac:dyDescent="0.3">
      <c r="A69" s="1">
        <v>1068</v>
      </c>
      <c r="B69" s="2">
        <v>46327</v>
      </c>
      <c r="C69" s="1" t="s">
        <v>76</v>
      </c>
      <c r="D69" s="1" t="str">
        <f>PROPER(TRIM(dataorders_enriched_csv_1[[#This Row],[first_name]]))</f>
        <v>Harsh</v>
      </c>
      <c r="E69" s="1" t="str">
        <f>PROPER(TRIM(dataorders_enriched_csv_1[[#This Row],[last_name]]))</f>
        <v>Chopra</v>
      </c>
      <c r="F69" s="1" t="s">
        <v>77</v>
      </c>
      <c r="G69" s="1" t="s">
        <v>14</v>
      </c>
      <c r="H69" s="1" t="s">
        <v>15</v>
      </c>
      <c r="I69" s="1" t="s">
        <v>88</v>
      </c>
      <c r="J69" s="1">
        <f t="shared" si="4"/>
        <v>5200</v>
      </c>
      <c r="K69" s="1">
        <v>5200</v>
      </c>
      <c r="L69" s="1" t="s">
        <v>89</v>
      </c>
      <c r="M69" s="1">
        <v>1</v>
      </c>
      <c r="N69" s="1">
        <f t="shared" si="5"/>
        <v>5200</v>
      </c>
      <c r="O69" s="1" t="s">
        <v>98</v>
      </c>
      <c r="P69" s="1" t="s">
        <v>19</v>
      </c>
      <c r="Q69" s="1">
        <f>dataorders_enriched_csv_1[[#This Row],[Unit-price]]*dataorders_enriched_csv_1[[#This Row],[quantity]]</f>
        <v>5200</v>
      </c>
    </row>
    <row r="70" spans="1:17" x14ac:dyDescent="0.3">
      <c r="A70" s="1">
        <v>1043</v>
      </c>
      <c r="B70" s="2">
        <v>46296</v>
      </c>
      <c r="C70" s="1" t="s">
        <v>82</v>
      </c>
      <c r="D70" s="1" t="str">
        <f>PROPER(TRIM(dataorders_enriched_csv_1[[#This Row],[first_name]]))</f>
        <v>Rohit</v>
      </c>
      <c r="E70" s="1" t="str">
        <f>PROPER(TRIM(dataorders_enriched_csv_1[[#This Row],[last_name]]))</f>
        <v>Khan</v>
      </c>
      <c r="F70" s="1" t="s">
        <v>83</v>
      </c>
      <c r="G70" s="1" t="s">
        <v>33</v>
      </c>
      <c r="H70" s="1" t="s">
        <v>34</v>
      </c>
      <c r="I70" s="1" t="s">
        <v>68</v>
      </c>
      <c r="J70" s="1">
        <f t="shared" si="4"/>
        <v>2800</v>
      </c>
      <c r="K70" s="1">
        <v>2800</v>
      </c>
      <c r="L70" s="1" t="s">
        <v>69</v>
      </c>
      <c r="M70" s="1">
        <v>1</v>
      </c>
      <c r="N70" s="1">
        <f t="shared" si="5"/>
        <v>2800</v>
      </c>
      <c r="O70" s="1" t="s">
        <v>18</v>
      </c>
      <c r="P70" s="1" t="s">
        <v>26</v>
      </c>
      <c r="Q70" s="1">
        <f>dataorders_enriched_csv_1[[#This Row],[Unit-price]]*dataorders_enriched_csv_1[[#This Row],[quantity]]</f>
        <v>2800</v>
      </c>
    </row>
    <row r="71" spans="1:17" x14ac:dyDescent="0.3">
      <c r="A71" s="1">
        <v>1051</v>
      </c>
      <c r="B71" s="2">
        <v>46296</v>
      </c>
      <c r="C71" s="1" t="s">
        <v>20</v>
      </c>
      <c r="D71" s="1" t="str">
        <f>PROPER(TRIM(dataorders_enriched_csv_1[[#This Row],[first_name]]))</f>
        <v>Sneha</v>
      </c>
      <c r="E71" s="1" t="str">
        <f>PROPER(TRIM(dataorders_enriched_csv_1[[#This Row],[last_name]]))</f>
        <v>Das</v>
      </c>
      <c r="F71" s="1" t="s">
        <v>21</v>
      </c>
      <c r="G71" s="1" t="s">
        <v>22</v>
      </c>
      <c r="H71" s="1" t="s">
        <v>23</v>
      </c>
      <c r="I71" s="1" t="s">
        <v>16</v>
      </c>
      <c r="J71" s="1">
        <f t="shared" si="4"/>
        <v>1400</v>
      </c>
      <c r="K71" s="1">
        <v>1400</v>
      </c>
      <c r="L71" s="1" t="s">
        <v>17</v>
      </c>
      <c r="M71" s="1">
        <v>2</v>
      </c>
      <c r="N71" s="1">
        <f t="shared" si="5"/>
        <v>2800</v>
      </c>
      <c r="O71" s="1" t="s">
        <v>18</v>
      </c>
      <c r="P71" s="1" t="s">
        <v>26</v>
      </c>
      <c r="Q71" s="1">
        <f>dataorders_enriched_csv_1[[#This Row],[Unit-price]]*dataorders_enriched_csv_1[[#This Row],[quantity]]</f>
        <v>2800</v>
      </c>
    </row>
    <row r="72" spans="1:17" hidden="1" x14ac:dyDescent="0.3">
      <c r="A72" s="1">
        <v>1071</v>
      </c>
      <c r="B72" s="2">
        <v>46327</v>
      </c>
      <c r="C72" s="1" t="s">
        <v>56</v>
      </c>
      <c r="D72" s="1" t="str">
        <f>PROPER(TRIM(dataorders_enriched_csv_1[[#This Row],[first_name]]))</f>
        <v>Tanvi</v>
      </c>
      <c r="E72" s="1" t="str">
        <f>PROPER(TRIM(dataorders_enriched_csv_1[[#This Row],[last_name]]))</f>
        <v>Thakur</v>
      </c>
      <c r="F72" s="1" t="s">
        <v>57</v>
      </c>
      <c r="G72" s="1" t="s">
        <v>40</v>
      </c>
      <c r="H72" s="1" t="s">
        <v>41</v>
      </c>
      <c r="I72" s="1" t="s">
        <v>88</v>
      </c>
      <c r="J72" s="1">
        <f t="shared" si="4"/>
        <v>5200</v>
      </c>
      <c r="K72" s="1">
        <v>5200</v>
      </c>
      <c r="L72" s="1" t="s">
        <v>89</v>
      </c>
      <c r="M72" s="1">
        <v>1</v>
      </c>
      <c r="N72" s="1">
        <f t="shared" si="5"/>
        <v>5200</v>
      </c>
      <c r="O72" s="1" t="s">
        <v>98</v>
      </c>
      <c r="P72" s="1" t="s">
        <v>19</v>
      </c>
      <c r="Q72" s="1">
        <f>dataorders_enriched_csv_1[[#This Row],[Unit-price]]*dataorders_enriched_csv_1[[#This Row],[quantity]]</f>
        <v>5200</v>
      </c>
    </row>
    <row r="73" spans="1:17" x14ac:dyDescent="0.3">
      <c r="A73" s="1">
        <v>1076</v>
      </c>
      <c r="B73" s="2">
        <v>46327</v>
      </c>
      <c r="C73" s="1" t="s">
        <v>12</v>
      </c>
      <c r="D73" s="1" t="str">
        <f>PROPER(TRIM(dataorders_enriched_csv_1[[#This Row],[first_name]]))</f>
        <v>Gaurav</v>
      </c>
      <c r="E73" s="1" t="str">
        <f>PROPER(TRIM(dataorders_enriched_csv_1[[#This Row],[last_name]]))</f>
        <v>Yadav</v>
      </c>
      <c r="F73" s="1" t="s">
        <v>13</v>
      </c>
      <c r="G73" s="1" t="s">
        <v>14</v>
      </c>
      <c r="H73" s="1" t="s">
        <v>15</v>
      </c>
      <c r="I73" s="1" t="s">
        <v>16</v>
      </c>
      <c r="J73" s="1">
        <f t="shared" si="4"/>
        <v>1400</v>
      </c>
      <c r="K73" s="1">
        <v>1400</v>
      </c>
      <c r="L73" s="1" t="s">
        <v>17</v>
      </c>
      <c r="M73" s="1">
        <v>2</v>
      </c>
      <c r="N73" s="1">
        <f t="shared" si="5"/>
        <v>2800</v>
      </c>
      <c r="O73" s="1" t="s">
        <v>18</v>
      </c>
      <c r="P73" s="1" t="s">
        <v>26</v>
      </c>
      <c r="Q73" s="1">
        <f>dataorders_enriched_csv_1[[#This Row],[Unit-price]]*dataorders_enriched_csv_1[[#This Row],[quantity]]</f>
        <v>2800</v>
      </c>
    </row>
    <row r="74" spans="1:17" x14ac:dyDescent="0.3">
      <c r="A74" s="1">
        <v>1080</v>
      </c>
      <c r="B74" s="2">
        <v>46327</v>
      </c>
      <c r="C74" s="1" t="s">
        <v>76</v>
      </c>
      <c r="D74" s="1" t="str">
        <f>PROPER(TRIM(dataorders_enriched_csv_1[[#This Row],[first_name]]))</f>
        <v>Harsh</v>
      </c>
      <c r="E74" s="1" t="str">
        <f>PROPER(TRIM(dataorders_enriched_csv_1[[#This Row],[last_name]]))</f>
        <v>Chopra</v>
      </c>
      <c r="F74" s="1" t="s">
        <v>77</v>
      </c>
      <c r="G74" s="1" t="s">
        <v>14</v>
      </c>
      <c r="H74" s="1" t="s">
        <v>15</v>
      </c>
      <c r="I74" s="1" t="s">
        <v>68</v>
      </c>
      <c r="J74" s="1">
        <f t="shared" si="4"/>
        <v>2800</v>
      </c>
      <c r="K74" s="1">
        <v>2800</v>
      </c>
      <c r="L74" s="1" t="s">
        <v>69</v>
      </c>
      <c r="M74" s="1">
        <v>1</v>
      </c>
      <c r="N74" s="1">
        <f t="shared" si="5"/>
        <v>2800</v>
      </c>
      <c r="O74" s="1" t="s">
        <v>18</v>
      </c>
      <c r="P74" s="1" t="s">
        <v>26</v>
      </c>
      <c r="Q74" s="1">
        <f>dataorders_enriched_csv_1[[#This Row],[Unit-price]]*dataorders_enriched_csv_1[[#This Row],[quantity]]</f>
        <v>2800</v>
      </c>
    </row>
    <row r="75" spans="1:17" x14ac:dyDescent="0.3">
      <c r="A75" s="1">
        <v>1032</v>
      </c>
      <c r="B75" s="2">
        <v>46296</v>
      </c>
      <c r="C75" s="1" t="s">
        <v>65</v>
      </c>
      <c r="D75" s="1" t="str">
        <f>PROPER(TRIM(dataorders_enriched_csv_1[[#This Row],[first_name]]))</f>
        <v>Karthik</v>
      </c>
      <c r="E75" s="1" t="str">
        <f>PROPER(TRIM(dataorders_enriched_csv_1[[#This Row],[last_name]]))</f>
        <v>Nair</v>
      </c>
      <c r="F75" s="1" t="s">
        <v>66</v>
      </c>
      <c r="G75" s="1" t="s">
        <v>14</v>
      </c>
      <c r="H75" s="1" t="s">
        <v>15</v>
      </c>
      <c r="I75" s="1" t="s">
        <v>88</v>
      </c>
      <c r="J75" s="1">
        <f t="shared" si="4"/>
        <v>1100</v>
      </c>
      <c r="K75" s="1">
        <v>1100</v>
      </c>
      <c r="L75" s="1" t="s">
        <v>91</v>
      </c>
      <c r="M75" s="1">
        <v>2</v>
      </c>
      <c r="N75" s="1">
        <f t="shared" si="5"/>
        <v>2200</v>
      </c>
      <c r="O75" s="1" t="s">
        <v>97</v>
      </c>
      <c r="P75" s="1" t="s">
        <v>26</v>
      </c>
      <c r="Q75" s="1">
        <f>dataorders_enriched_csv_1[[#This Row],[Unit-price]]*dataorders_enriched_csv_1[[#This Row],[quantity]]</f>
        <v>2200</v>
      </c>
    </row>
    <row r="76" spans="1:17" hidden="1" x14ac:dyDescent="0.3">
      <c r="A76" s="1">
        <v>1075</v>
      </c>
      <c r="B76" s="2">
        <v>46327</v>
      </c>
      <c r="C76" s="1" t="s">
        <v>20</v>
      </c>
      <c r="D76" s="1" t="str">
        <f>PROPER(TRIM(dataorders_enriched_csv_1[[#This Row],[first_name]]))</f>
        <v>Sneha</v>
      </c>
      <c r="E76" s="1" t="str">
        <f>PROPER(TRIM(dataorders_enriched_csv_1[[#This Row],[last_name]]))</f>
        <v>Das</v>
      </c>
      <c r="F76" s="1" t="s">
        <v>21</v>
      </c>
      <c r="G76" s="1" t="s">
        <v>22</v>
      </c>
      <c r="H76" s="1" t="s">
        <v>23</v>
      </c>
      <c r="I76" s="1" t="s">
        <v>16</v>
      </c>
      <c r="J76" s="1">
        <f t="shared" si="4"/>
        <v>3600</v>
      </c>
      <c r="K76" s="1">
        <v>3600</v>
      </c>
      <c r="L76" s="1" t="s">
        <v>24</v>
      </c>
      <c r="M76" s="1">
        <v>1</v>
      </c>
      <c r="N76" s="1">
        <f t="shared" si="5"/>
        <v>3600</v>
      </c>
      <c r="O76" s="1" t="s">
        <v>25</v>
      </c>
      <c r="P76" s="1" t="s">
        <v>19</v>
      </c>
      <c r="Q76" s="1">
        <f>dataorders_enriched_csv_1[[#This Row],[Unit-price]]*dataorders_enriched_csv_1[[#This Row],[quantity]]</f>
        <v>3600</v>
      </c>
    </row>
    <row r="77" spans="1:17" x14ac:dyDescent="0.3">
      <c r="A77" s="1">
        <v>1039</v>
      </c>
      <c r="B77" s="2">
        <v>46296</v>
      </c>
      <c r="C77" s="1" t="s">
        <v>58</v>
      </c>
      <c r="D77" s="1" t="str">
        <f>PROPER(TRIM(dataorders_enriched_csv_1[[#This Row],[first_name]]))</f>
        <v>Rahul</v>
      </c>
      <c r="E77" s="1" t="str">
        <f>PROPER(TRIM(dataorders_enriched_csv_1[[#This Row],[last_name]]))</f>
        <v>Verma</v>
      </c>
      <c r="F77" s="1" t="s">
        <v>59</v>
      </c>
      <c r="G77" s="1" t="s">
        <v>14</v>
      </c>
      <c r="H77" s="1" t="s">
        <v>15</v>
      </c>
      <c r="I77" s="1" t="s">
        <v>88</v>
      </c>
      <c r="J77" s="1">
        <f t="shared" si="4"/>
        <v>1100</v>
      </c>
      <c r="K77" s="1">
        <v>1100</v>
      </c>
      <c r="L77" s="1" t="s">
        <v>91</v>
      </c>
      <c r="M77" s="1">
        <v>2</v>
      </c>
      <c r="N77" s="1">
        <f t="shared" si="5"/>
        <v>2200</v>
      </c>
      <c r="O77" s="1" t="s">
        <v>97</v>
      </c>
      <c r="P77" s="1" t="s">
        <v>26</v>
      </c>
      <c r="Q77" s="1">
        <f>dataorders_enriched_csv_1[[#This Row],[Unit-price]]*dataorders_enriched_csv_1[[#This Row],[quantity]]</f>
        <v>2200</v>
      </c>
    </row>
    <row r="78" spans="1:17" x14ac:dyDescent="0.3">
      <c r="A78" s="1">
        <v>1070</v>
      </c>
      <c r="B78" s="2">
        <v>46327</v>
      </c>
      <c r="C78" s="1" t="s">
        <v>60</v>
      </c>
      <c r="D78" s="1" t="str">
        <f>PROPER(TRIM(dataorders_enriched_csv_1[[#This Row],[first_name]]))</f>
        <v>Meera</v>
      </c>
      <c r="E78" s="1" t="str">
        <f>PROPER(TRIM(dataorders_enriched_csv_1[[#This Row],[last_name]]))</f>
        <v>Patil</v>
      </c>
      <c r="F78" s="1" t="s">
        <v>61</v>
      </c>
      <c r="G78" s="1" t="s">
        <v>40</v>
      </c>
      <c r="H78" s="1" t="s">
        <v>41</v>
      </c>
      <c r="I78" s="1" t="s">
        <v>88</v>
      </c>
      <c r="J78" s="1">
        <f t="shared" si="4"/>
        <v>1100</v>
      </c>
      <c r="K78" s="1">
        <v>1100</v>
      </c>
      <c r="L78" s="1" t="s">
        <v>91</v>
      </c>
      <c r="M78" s="1">
        <v>2</v>
      </c>
      <c r="N78" s="1">
        <f t="shared" si="5"/>
        <v>2200</v>
      </c>
      <c r="O78" s="1" t="s">
        <v>97</v>
      </c>
      <c r="P78" s="1" t="s">
        <v>26</v>
      </c>
      <c r="Q78" s="1">
        <f>dataorders_enriched_csv_1[[#This Row],[Unit-price]]*dataorders_enriched_csv_1[[#This Row],[quantity]]</f>
        <v>2200</v>
      </c>
    </row>
    <row r="79" spans="1:17" hidden="1" x14ac:dyDescent="0.3">
      <c r="A79" s="1">
        <v>1078</v>
      </c>
      <c r="B79" s="2">
        <v>46327</v>
      </c>
      <c r="C79" s="1" t="s">
        <v>58</v>
      </c>
      <c r="D79" s="1" t="str">
        <f>PROPER(TRIM(dataorders_enriched_csv_1[[#This Row],[first_name]]))</f>
        <v>Rahul</v>
      </c>
      <c r="E79" s="1" t="str">
        <f>PROPER(TRIM(dataorders_enriched_csv_1[[#This Row],[last_name]]))</f>
        <v>Verma</v>
      </c>
      <c r="F79" s="1" t="s">
        <v>59</v>
      </c>
      <c r="G79" s="1" t="s">
        <v>14</v>
      </c>
      <c r="H79" s="1" t="s">
        <v>15</v>
      </c>
      <c r="I79" s="1" t="s">
        <v>16</v>
      </c>
      <c r="J79" s="1">
        <f t="shared" si="4"/>
        <v>1400</v>
      </c>
      <c r="K79" s="1">
        <v>1400</v>
      </c>
      <c r="L79" s="1" t="s">
        <v>17</v>
      </c>
      <c r="M79" s="1">
        <v>1</v>
      </c>
      <c r="N79" s="1">
        <f t="shared" si="5"/>
        <v>1400</v>
      </c>
      <c r="O79" s="1" t="s">
        <v>42</v>
      </c>
      <c r="P79" s="1" t="s">
        <v>19</v>
      </c>
      <c r="Q79" s="1">
        <f>dataorders_enriched_csv_1[[#This Row],[Unit-price]]*dataorders_enriched_csv_1[[#This Row],[quantity]]</f>
        <v>1400</v>
      </c>
    </row>
    <row r="80" spans="1:17" x14ac:dyDescent="0.3">
      <c r="A80" s="1">
        <v>1007</v>
      </c>
      <c r="B80" s="2">
        <v>46266</v>
      </c>
      <c r="C80" s="1" t="s">
        <v>56</v>
      </c>
      <c r="D80" s="1" t="str">
        <f>PROPER(TRIM(dataorders_enriched_csv_1[[#This Row],[first_name]]))</f>
        <v>Tanvi</v>
      </c>
      <c r="E80" s="1" t="str">
        <f>PROPER(TRIM(dataorders_enriched_csv_1[[#This Row],[last_name]]))</f>
        <v>Thakur</v>
      </c>
      <c r="F80" s="1" t="s">
        <v>57</v>
      </c>
      <c r="G80" s="1" t="s">
        <v>40</v>
      </c>
      <c r="H80" s="1" t="s">
        <v>41</v>
      </c>
      <c r="I80" s="1" t="s">
        <v>88</v>
      </c>
      <c r="J80" s="1">
        <f t="shared" si="4"/>
        <v>1900</v>
      </c>
      <c r="K80" s="1">
        <v>1900</v>
      </c>
      <c r="L80" s="1" t="s">
        <v>93</v>
      </c>
      <c r="M80" s="1">
        <v>1</v>
      </c>
      <c r="N80" s="1">
        <f t="shared" si="5"/>
        <v>1900</v>
      </c>
      <c r="O80" s="1" t="s">
        <v>94</v>
      </c>
      <c r="P80" s="1" t="s">
        <v>26</v>
      </c>
      <c r="Q80" s="1">
        <f>dataorders_enriched_csv_1[[#This Row],[Unit-price]]*dataorders_enriched_csv_1[[#This Row],[quantity]]</f>
        <v>1900</v>
      </c>
    </row>
    <row r="81" spans="1:17" x14ac:dyDescent="0.3">
      <c r="A81" s="1">
        <v>1009</v>
      </c>
      <c r="B81" s="2">
        <v>46266</v>
      </c>
      <c r="C81" s="1" t="s">
        <v>58</v>
      </c>
      <c r="D81" s="1" t="str">
        <f>PROPER(TRIM(dataorders_enriched_csv_1[[#This Row],[first_name]]))</f>
        <v>Rahul</v>
      </c>
      <c r="E81" s="1" t="str">
        <f>PROPER(TRIM(dataorders_enriched_csv_1[[#This Row],[last_name]]))</f>
        <v>Verma</v>
      </c>
      <c r="F81" s="1" t="s">
        <v>59</v>
      </c>
      <c r="G81" s="1" t="s">
        <v>14</v>
      </c>
      <c r="H81" s="1" t="s">
        <v>15</v>
      </c>
      <c r="I81" s="1" t="s">
        <v>88</v>
      </c>
      <c r="J81" s="1">
        <f t="shared" si="4"/>
        <v>1900</v>
      </c>
      <c r="K81" s="1">
        <v>1900</v>
      </c>
      <c r="L81" s="1" t="s">
        <v>93</v>
      </c>
      <c r="M81" s="1">
        <v>1</v>
      </c>
      <c r="N81" s="1">
        <f t="shared" si="5"/>
        <v>1900</v>
      </c>
      <c r="O81" s="1" t="s">
        <v>94</v>
      </c>
      <c r="P81" s="1" t="s">
        <v>26</v>
      </c>
      <c r="Q81" s="1">
        <f>dataorders_enriched_csv_1[[#This Row],[Unit-price]]*dataorders_enriched_csv_1[[#This Row],[quantity]]</f>
        <v>1900</v>
      </c>
    </row>
    <row r="82" spans="1:17" x14ac:dyDescent="0.3">
      <c r="A82" s="1">
        <v>1046</v>
      </c>
      <c r="B82" s="2">
        <v>46296</v>
      </c>
      <c r="C82" s="1" t="s">
        <v>31</v>
      </c>
      <c r="D82" s="1" t="str">
        <f>PROPER(TRIM(dataorders_enriched_csv_1[[#This Row],[first_name]]))</f>
        <v>Vikram</v>
      </c>
      <c r="E82" s="1" t="str">
        <f>PROPER(TRIM(dataorders_enriched_csv_1[[#This Row],[last_name]]))</f>
        <v>Singh</v>
      </c>
      <c r="F82" s="1" t="s">
        <v>32</v>
      </c>
      <c r="G82" s="1" t="s">
        <v>33</v>
      </c>
      <c r="H82" s="1" t="s">
        <v>34</v>
      </c>
      <c r="I82" s="1" t="s">
        <v>88</v>
      </c>
      <c r="J82" s="1">
        <f t="shared" si="4"/>
        <v>1900</v>
      </c>
      <c r="K82" s="1">
        <v>1900</v>
      </c>
      <c r="L82" s="1" t="s">
        <v>93</v>
      </c>
      <c r="M82" s="1">
        <v>1</v>
      </c>
      <c r="N82" s="1">
        <f t="shared" si="5"/>
        <v>1900</v>
      </c>
      <c r="O82" s="1" t="s">
        <v>94</v>
      </c>
      <c r="P82" s="1" t="s">
        <v>26</v>
      </c>
      <c r="Q82" s="1">
        <f>dataorders_enriched_csv_1[[#This Row],[Unit-price]]*dataorders_enriched_csv_1[[#This Row],[quantity]]</f>
        <v>1900</v>
      </c>
    </row>
    <row r="83" spans="1:17" hidden="1" x14ac:dyDescent="0.3">
      <c r="A83" s="1">
        <v>1082</v>
      </c>
      <c r="B83" s="2">
        <v>46327</v>
      </c>
      <c r="C83" s="1" t="s">
        <v>65</v>
      </c>
      <c r="D83" s="1" t="str">
        <f>PROPER(TRIM(dataorders_enriched_csv_1[[#This Row],[first_name]]))</f>
        <v>Karthik</v>
      </c>
      <c r="E83" s="1" t="str">
        <f>PROPER(TRIM(dataorders_enriched_csv_1[[#This Row],[last_name]]))</f>
        <v>Nair</v>
      </c>
      <c r="F83" s="1" t="s">
        <v>66</v>
      </c>
      <c r="G83" s="1" t="s">
        <v>14</v>
      </c>
      <c r="H83" s="1" t="s">
        <v>15</v>
      </c>
      <c r="I83" s="1" t="s">
        <v>16</v>
      </c>
      <c r="J83" s="1">
        <f t="shared" si="4"/>
        <v>3600</v>
      </c>
      <c r="K83" s="1">
        <v>3600</v>
      </c>
      <c r="L83" s="1" t="s">
        <v>24</v>
      </c>
      <c r="M83" s="1">
        <v>3</v>
      </c>
      <c r="N83" s="1">
        <f t="shared" si="5"/>
        <v>10800</v>
      </c>
      <c r="O83" s="1" t="s">
        <v>67</v>
      </c>
      <c r="P83" s="1" t="s">
        <v>50</v>
      </c>
      <c r="Q83" s="1">
        <f>dataorders_enriched_csv_1[[#This Row],[Unit-price]]*dataorders_enriched_csv_1[[#This Row],[quantity]]</f>
        <v>10800</v>
      </c>
    </row>
    <row r="84" spans="1:17" x14ac:dyDescent="0.3">
      <c r="A84" s="1">
        <v>1072</v>
      </c>
      <c r="B84" s="2">
        <v>46327</v>
      </c>
      <c r="C84" s="1" t="s">
        <v>48</v>
      </c>
      <c r="D84" s="1" t="str">
        <f>PROPER(TRIM(dataorders_enriched_csv_1[[#This Row],[first_name]]))</f>
        <v>Isha</v>
      </c>
      <c r="E84" s="1" t="str">
        <f>PROPER(TRIM(dataorders_enriched_csv_1[[#This Row],[last_name]]))</f>
        <v>Pillai</v>
      </c>
      <c r="F84" s="1" t="s">
        <v>49</v>
      </c>
      <c r="G84" s="1" t="s">
        <v>22</v>
      </c>
      <c r="H84" s="1" t="s">
        <v>23</v>
      </c>
      <c r="I84" s="1" t="s">
        <v>88</v>
      </c>
      <c r="J84" s="1">
        <f t="shared" si="4"/>
        <v>1900</v>
      </c>
      <c r="K84" s="1">
        <v>1900</v>
      </c>
      <c r="L84" s="1" t="s">
        <v>93</v>
      </c>
      <c r="M84" s="1">
        <v>1</v>
      </c>
      <c r="N84" s="1">
        <f t="shared" si="5"/>
        <v>1900</v>
      </c>
      <c r="O84" s="1" t="s">
        <v>94</v>
      </c>
      <c r="P84" s="1" t="s">
        <v>26</v>
      </c>
      <c r="Q84" s="1">
        <f>dataorders_enriched_csv_1[[#This Row],[Unit-price]]*dataorders_enriched_csv_1[[#This Row],[quantity]]</f>
        <v>1900</v>
      </c>
    </row>
    <row r="85" spans="1:17" x14ac:dyDescent="0.3">
      <c r="A85" s="1">
        <v>1024</v>
      </c>
      <c r="B85" s="2">
        <v>46266</v>
      </c>
      <c r="C85" s="1" t="s">
        <v>38</v>
      </c>
      <c r="D85" s="1" t="str">
        <f>PROPER(TRIM(dataorders_enriched_csv_1[[#This Row],[first_name]]))</f>
        <v>Priya</v>
      </c>
      <c r="E85" s="1" t="str">
        <f>PROPER(TRIM(dataorders_enriched_csv_1[[#This Row],[last_name]]))</f>
        <v>Iyer</v>
      </c>
      <c r="F85" s="1" t="s">
        <v>39</v>
      </c>
      <c r="G85" s="1" t="s">
        <v>40</v>
      </c>
      <c r="H85" s="1" t="s">
        <v>41</v>
      </c>
      <c r="I85" s="1" t="s">
        <v>16</v>
      </c>
      <c r="J85" s="1">
        <f t="shared" si="4"/>
        <v>1400</v>
      </c>
      <c r="K85" s="1">
        <v>1400</v>
      </c>
      <c r="L85" s="1" t="s">
        <v>17</v>
      </c>
      <c r="M85" s="1">
        <v>1</v>
      </c>
      <c r="N85" s="1">
        <f t="shared" si="5"/>
        <v>1400</v>
      </c>
      <c r="O85" s="1" t="s">
        <v>42</v>
      </c>
      <c r="P85" s="1" t="s">
        <v>26</v>
      </c>
      <c r="Q85" s="1">
        <f>dataorders_enriched_csv_1[[#This Row],[Unit-price]]*dataorders_enriched_csv_1[[#This Row],[quantity]]</f>
        <v>1400</v>
      </c>
    </row>
    <row r="86" spans="1:17" x14ac:dyDescent="0.3">
      <c r="A86" s="1">
        <v>1026</v>
      </c>
      <c r="B86" s="2">
        <v>46266</v>
      </c>
      <c r="C86" s="1" t="s">
        <v>31</v>
      </c>
      <c r="D86" s="1" t="str">
        <f>PROPER(TRIM(dataorders_enriched_csv_1[[#This Row],[first_name]]))</f>
        <v>Vikram</v>
      </c>
      <c r="E86" s="1" t="str">
        <f>PROPER(TRIM(dataorders_enriched_csv_1[[#This Row],[last_name]]))</f>
        <v>Singh</v>
      </c>
      <c r="F86" s="1" t="s">
        <v>32</v>
      </c>
      <c r="G86" s="1" t="s">
        <v>33</v>
      </c>
      <c r="H86" s="1" t="s">
        <v>34</v>
      </c>
      <c r="I86" s="1" t="s">
        <v>16</v>
      </c>
      <c r="J86" s="1">
        <f t="shared" si="4"/>
        <v>1400</v>
      </c>
      <c r="K86" s="1">
        <v>1400</v>
      </c>
      <c r="L86" s="1" t="s">
        <v>17</v>
      </c>
      <c r="M86" s="1">
        <v>1</v>
      </c>
      <c r="N86" s="1">
        <f t="shared" si="5"/>
        <v>1400</v>
      </c>
      <c r="O86" s="1" t="s">
        <v>42</v>
      </c>
      <c r="P86" s="1" t="s">
        <v>26</v>
      </c>
      <c r="Q86" s="1">
        <f>dataorders_enriched_csv_1[[#This Row],[Unit-price]]*dataorders_enriched_csv_1[[#This Row],[quantity]]</f>
        <v>1400</v>
      </c>
    </row>
    <row r="87" spans="1:17" x14ac:dyDescent="0.3">
      <c r="A87" s="1">
        <v>1079</v>
      </c>
      <c r="B87" s="2">
        <v>46327</v>
      </c>
      <c r="C87" s="1" t="s">
        <v>20</v>
      </c>
      <c r="D87" s="1" t="str">
        <f>PROPER(TRIM(dataorders_enriched_csv_1[[#This Row],[first_name]]))</f>
        <v>Sneha</v>
      </c>
      <c r="E87" s="1" t="str">
        <f>PROPER(TRIM(dataorders_enriched_csv_1[[#This Row],[last_name]]))</f>
        <v>Das</v>
      </c>
      <c r="F87" s="1" t="s">
        <v>21</v>
      </c>
      <c r="G87" s="1" t="s">
        <v>22</v>
      </c>
      <c r="H87" s="1" t="s">
        <v>23</v>
      </c>
      <c r="I87" s="1" t="s">
        <v>16</v>
      </c>
      <c r="J87" s="1">
        <f t="shared" si="4"/>
        <v>1400</v>
      </c>
      <c r="K87" s="1">
        <v>1400</v>
      </c>
      <c r="L87" s="1" t="s">
        <v>17</v>
      </c>
      <c r="M87" s="1">
        <v>1</v>
      </c>
      <c r="N87" s="1">
        <f t="shared" si="5"/>
        <v>1400</v>
      </c>
      <c r="O87" s="1" t="s">
        <v>42</v>
      </c>
      <c r="P87" s="1" t="s">
        <v>26</v>
      </c>
      <c r="Q87" s="1">
        <f>dataorders_enriched_csv_1[[#This Row],[Unit-price]]*dataorders_enriched_csv_1[[#This Row],[quantity]]</f>
        <v>1400</v>
      </c>
    </row>
    <row r="88" spans="1:17" x14ac:dyDescent="0.3">
      <c r="A88" s="1">
        <v>1005</v>
      </c>
      <c r="B88" s="2">
        <v>46266</v>
      </c>
      <c r="C88" s="1" t="s">
        <v>56</v>
      </c>
      <c r="D88" s="1" t="str">
        <f>PROPER(TRIM(dataorders_enriched_csv_1[[#This Row],[first_name]]))</f>
        <v>Tanvi</v>
      </c>
      <c r="E88" s="1" t="str">
        <f>PROPER(TRIM(dataorders_enriched_csv_1[[#This Row],[last_name]]))</f>
        <v>Thakur</v>
      </c>
      <c r="F88" s="1" t="s">
        <v>57</v>
      </c>
      <c r="G88" s="1" t="s">
        <v>40</v>
      </c>
      <c r="H88" s="1" t="s">
        <v>41</v>
      </c>
      <c r="I88" s="1" t="s">
        <v>88</v>
      </c>
      <c r="J88" s="1">
        <f t="shared" si="4"/>
        <v>1100</v>
      </c>
      <c r="K88" s="1">
        <v>1100</v>
      </c>
      <c r="L88" s="1" t="s">
        <v>91</v>
      </c>
      <c r="M88" s="1">
        <v>1</v>
      </c>
      <c r="N88" s="1">
        <f t="shared" si="5"/>
        <v>1100</v>
      </c>
      <c r="O88" s="1" t="s">
        <v>92</v>
      </c>
      <c r="P88" s="1" t="s">
        <v>26</v>
      </c>
      <c r="Q88" s="1">
        <f>dataorders_enriched_csv_1[[#This Row],[Unit-price]]*dataorders_enriched_csv_1[[#This Row],[quantity]]</f>
        <v>1100</v>
      </c>
    </row>
    <row r="89" spans="1:17" x14ac:dyDescent="0.3">
      <c r="A89" s="1">
        <v>1025</v>
      </c>
      <c r="B89" s="2">
        <v>46266</v>
      </c>
      <c r="C89" s="1" t="s">
        <v>54</v>
      </c>
      <c r="D89" s="1" t="str">
        <f>PROPER(TRIM(dataorders_enriched_csv_1[[#This Row],[first_name]]))</f>
        <v>Divya</v>
      </c>
      <c r="E89" s="1" t="str">
        <f>PROPER(TRIM(dataorders_enriched_csv_1[[#This Row],[last_name]]))</f>
        <v>Gupta</v>
      </c>
      <c r="F89" s="1" t="s">
        <v>55</v>
      </c>
      <c r="G89" s="1" t="s">
        <v>22</v>
      </c>
      <c r="H89" s="1" t="s">
        <v>23</v>
      </c>
      <c r="I89" s="1" t="s">
        <v>88</v>
      </c>
      <c r="J89" s="1">
        <f t="shared" si="4"/>
        <v>1100</v>
      </c>
      <c r="K89" s="1">
        <v>1100</v>
      </c>
      <c r="L89" s="1" t="s">
        <v>91</v>
      </c>
      <c r="M89" s="1">
        <v>1</v>
      </c>
      <c r="N89" s="1">
        <f t="shared" si="5"/>
        <v>1100</v>
      </c>
      <c r="O89" s="1" t="s">
        <v>92</v>
      </c>
      <c r="P89" s="1" t="s">
        <v>26</v>
      </c>
      <c r="Q89" s="1">
        <f>dataorders_enriched_csv_1[[#This Row],[Unit-price]]*dataorders_enriched_csv_1[[#This Row],[quantity]]</f>
        <v>1100</v>
      </c>
    </row>
    <row r="90" spans="1:17" x14ac:dyDescent="0.3">
      <c r="A90" s="1">
        <v>1048</v>
      </c>
      <c r="B90" s="2">
        <v>46296</v>
      </c>
      <c r="C90" s="1" t="s">
        <v>38</v>
      </c>
      <c r="D90" s="1" t="str">
        <f>PROPER(TRIM(dataorders_enriched_csv_1[[#This Row],[first_name]]))</f>
        <v>Priya</v>
      </c>
      <c r="E90" s="1" t="str">
        <f>PROPER(TRIM(dataorders_enriched_csv_1[[#This Row],[last_name]]))</f>
        <v>Iyer</v>
      </c>
      <c r="F90" s="1" t="s">
        <v>39</v>
      </c>
      <c r="G90" s="1" t="s">
        <v>40</v>
      </c>
      <c r="H90" s="1" t="s">
        <v>41</v>
      </c>
      <c r="I90" s="1" t="s">
        <v>88</v>
      </c>
      <c r="J90" s="1">
        <f t="shared" si="4"/>
        <v>1100</v>
      </c>
      <c r="K90" s="1">
        <v>1100</v>
      </c>
      <c r="L90" s="1" t="s">
        <v>91</v>
      </c>
      <c r="M90" s="1">
        <v>1</v>
      </c>
      <c r="N90" s="1">
        <f t="shared" si="5"/>
        <v>1100</v>
      </c>
      <c r="O90" s="1" t="s">
        <v>92</v>
      </c>
      <c r="P90" s="1" t="s">
        <v>26</v>
      </c>
      <c r="Q90" s="1">
        <f>dataorders_enriched_csv_1[[#This Row],[Unit-price]]*dataorders_enriched_csv_1[[#This Row],[quantity]]</f>
        <v>1100</v>
      </c>
    </row>
    <row r="91" spans="1:17" x14ac:dyDescent="0.3">
      <c r="A91" s="1">
        <v>1089</v>
      </c>
      <c r="B91" s="2">
        <v>46327</v>
      </c>
      <c r="C91" s="1" t="s">
        <v>60</v>
      </c>
      <c r="D91" s="1" t="str">
        <f>PROPER(TRIM(dataorders_enriched_csv_1[[#This Row],[first_name]]))</f>
        <v>Meera</v>
      </c>
      <c r="E91" s="1" t="str">
        <f>PROPER(TRIM(dataorders_enriched_csv_1[[#This Row],[last_name]]))</f>
        <v>Patil</v>
      </c>
      <c r="F91" s="1" t="s">
        <v>61</v>
      </c>
      <c r="G91" s="1" t="s">
        <v>40</v>
      </c>
      <c r="H91" s="1" t="s">
        <v>41</v>
      </c>
      <c r="I91" s="1" t="s">
        <v>88</v>
      </c>
      <c r="J91" s="1">
        <f t="shared" si="4"/>
        <v>1100</v>
      </c>
      <c r="K91" s="1">
        <v>1100</v>
      </c>
      <c r="L91" s="1" t="s">
        <v>91</v>
      </c>
      <c r="M91" s="1">
        <v>1</v>
      </c>
      <c r="N91" s="1">
        <f t="shared" si="5"/>
        <v>1100</v>
      </c>
      <c r="O91" s="1" t="s">
        <v>92</v>
      </c>
      <c r="P91" s="1" t="s">
        <v>26</v>
      </c>
      <c r="Q91" s="4">
        <f>dataorders_enriched_csv_1[[#This Row],[Unit-price]]*dataorders_enriched_csv_1[[#This Row],[quantity]]</f>
        <v>1100</v>
      </c>
    </row>
  </sheetData>
  <mergeCells count="4">
    <mergeCell ref="S1:T1"/>
    <mergeCell ref="S7:T7"/>
    <mergeCell ref="S15:T15"/>
    <mergeCell ref="S16:T1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0EB2D-75DE-4787-9B5F-062F7507C63E}">
  <dimension ref="A1:M64"/>
  <sheetViews>
    <sheetView tabSelected="1" topLeftCell="A30" workbookViewId="0">
      <selection activeCell="I46" sqref="I46"/>
    </sheetView>
  </sheetViews>
  <sheetFormatPr defaultRowHeight="14.4" x14ac:dyDescent="0.3"/>
  <cols>
    <col min="1" max="1" width="7.88671875" bestFit="1" customWidth="1"/>
    <col min="2" max="2" width="11.77734375" bestFit="1" customWidth="1"/>
    <col min="3" max="3" width="14.88671875" bestFit="1" customWidth="1"/>
    <col min="4" max="4" width="15.109375" bestFit="1" customWidth="1"/>
    <col min="5" max="5" width="6.109375" bestFit="1" customWidth="1"/>
    <col min="6" max="6" width="12.21875" bestFit="1" customWidth="1"/>
    <col min="7" max="7" width="9.88671875" bestFit="1" customWidth="1"/>
    <col min="8" max="8" width="9.109375" bestFit="1" customWidth="1"/>
    <col min="9" max="9" width="16.109375" bestFit="1" customWidth="1"/>
    <col min="10" max="10" width="7.6640625" bestFit="1" customWidth="1"/>
    <col min="11" max="11" width="7.44140625" bestFit="1" customWidth="1"/>
    <col min="12" max="12" width="9.6640625" bestFit="1" customWidth="1"/>
    <col min="13" max="13" width="8" bestFit="1" customWidth="1"/>
  </cols>
  <sheetData>
    <row r="1" spans="1:13" x14ac:dyDescent="0.3">
      <c r="A1" s="1" t="s">
        <v>0</v>
      </c>
      <c r="B1" s="1" t="s">
        <v>1</v>
      </c>
      <c r="C1" s="1" t="s">
        <v>99</v>
      </c>
      <c r="D1" s="1" t="s">
        <v>100</v>
      </c>
      <c r="E1" s="1" t="s">
        <v>4</v>
      </c>
      <c r="F1" s="1" t="s">
        <v>5</v>
      </c>
      <c r="G1" s="1" t="s">
        <v>6</v>
      </c>
      <c r="H1" s="1" t="s">
        <v>101</v>
      </c>
      <c r="I1" s="1" t="s">
        <v>8</v>
      </c>
      <c r="J1" s="1" t="s">
        <v>9</v>
      </c>
      <c r="K1" s="1" t="s">
        <v>102</v>
      </c>
      <c r="L1" s="1" t="s">
        <v>11</v>
      </c>
      <c r="M1" s="5" t="s">
        <v>104</v>
      </c>
    </row>
    <row r="2" spans="1:13" x14ac:dyDescent="0.3">
      <c r="A2" s="1">
        <v>1061</v>
      </c>
      <c r="B2" s="2">
        <v>46327</v>
      </c>
      <c r="C2" s="1" t="s">
        <v>62</v>
      </c>
      <c r="D2" s="1" t="s">
        <v>63</v>
      </c>
      <c r="E2" s="1" t="s">
        <v>22</v>
      </c>
      <c r="F2" s="1" t="s">
        <v>23</v>
      </c>
      <c r="G2" s="1" t="s">
        <v>88</v>
      </c>
      <c r="H2" s="1">
        <v>5200</v>
      </c>
      <c r="I2" s="1" t="s">
        <v>89</v>
      </c>
      <c r="J2" s="1">
        <v>3</v>
      </c>
      <c r="K2" s="1">
        <v>15600</v>
      </c>
      <c r="L2" s="1" t="s">
        <v>26</v>
      </c>
      <c r="M2" s="1">
        <v>15600</v>
      </c>
    </row>
    <row r="3" spans="1:13" x14ac:dyDescent="0.3">
      <c r="A3" s="1">
        <v>1065</v>
      </c>
      <c r="B3" s="2">
        <v>46327</v>
      </c>
      <c r="C3" s="1" t="s">
        <v>56</v>
      </c>
      <c r="D3" s="1" t="s">
        <v>57</v>
      </c>
      <c r="E3" s="1" t="s">
        <v>40</v>
      </c>
      <c r="F3" s="1" t="s">
        <v>41</v>
      </c>
      <c r="G3" s="1" t="s">
        <v>88</v>
      </c>
      <c r="H3" s="1">
        <v>5200</v>
      </c>
      <c r="I3" s="1" t="s">
        <v>89</v>
      </c>
      <c r="J3" s="1">
        <v>3</v>
      </c>
      <c r="K3" s="1">
        <v>15600</v>
      </c>
      <c r="L3" s="1" t="s">
        <v>26</v>
      </c>
      <c r="M3" s="1">
        <v>15600</v>
      </c>
    </row>
    <row r="4" spans="1:13" x14ac:dyDescent="0.3">
      <c r="A4" s="1">
        <v>1069</v>
      </c>
      <c r="B4" s="2">
        <v>46327</v>
      </c>
      <c r="C4" s="1" t="s">
        <v>136</v>
      </c>
      <c r="D4" s="1" t="s">
        <v>44</v>
      </c>
      <c r="E4" s="1" t="s">
        <v>14</v>
      </c>
      <c r="F4" s="1" t="s">
        <v>15</v>
      </c>
      <c r="G4" s="1" t="s">
        <v>88</v>
      </c>
      <c r="H4" s="1">
        <v>5200</v>
      </c>
      <c r="I4" s="1" t="s">
        <v>89</v>
      </c>
      <c r="J4" s="1">
        <v>3</v>
      </c>
      <c r="K4" s="1">
        <v>15600</v>
      </c>
      <c r="L4" s="1" t="s">
        <v>26</v>
      </c>
      <c r="M4" s="1">
        <v>15600</v>
      </c>
    </row>
    <row r="5" spans="1:13" x14ac:dyDescent="0.3">
      <c r="A5" s="1">
        <v>1077</v>
      </c>
      <c r="B5" s="2">
        <v>46327</v>
      </c>
      <c r="C5" s="1" t="s">
        <v>137</v>
      </c>
      <c r="D5" s="1" t="s">
        <v>130</v>
      </c>
      <c r="E5" s="1" t="s">
        <v>14</v>
      </c>
      <c r="F5" s="1" t="s">
        <v>15</v>
      </c>
      <c r="G5" s="1" t="s">
        <v>88</v>
      </c>
      <c r="H5" s="1">
        <v>5200</v>
      </c>
      <c r="I5" s="1" t="s">
        <v>89</v>
      </c>
      <c r="J5" s="1">
        <v>3</v>
      </c>
      <c r="K5" s="1">
        <v>15600</v>
      </c>
      <c r="L5" s="1" t="s">
        <v>26</v>
      </c>
      <c r="M5" s="1">
        <v>15600</v>
      </c>
    </row>
    <row r="6" spans="1:13" x14ac:dyDescent="0.3">
      <c r="A6" s="1">
        <v>1006</v>
      </c>
      <c r="B6" s="2">
        <v>46266</v>
      </c>
      <c r="C6" s="1" t="s">
        <v>138</v>
      </c>
      <c r="D6" s="1" t="s">
        <v>131</v>
      </c>
      <c r="E6" s="1" t="s">
        <v>33</v>
      </c>
      <c r="F6" s="1" t="s">
        <v>34</v>
      </c>
      <c r="G6" s="1" t="s">
        <v>68</v>
      </c>
      <c r="H6" s="1">
        <v>4500</v>
      </c>
      <c r="I6" s="1" t="s">
        <v>71</v>
      </c>
      <c r="J6" s="1">
        <v>3</v>
      </c>
      <c r="K6" s="1">
        <v>13500</v>
      </c>
      <c r="L6" s="1" t="s">
        <v>26</v>
      </c>
      <c r="M6" s="1">
        <v>13500</v>
      </c>
    </row>
    <row r="7" spans="1:13" x14ac:dyDescent="0.3">
      <c r="A7" s="1">
        <v>1040</v>
      </c>
      <c r="B7" s="2">
        <v>46296</v>
      </c>
      <c r="C7" s="1" t="s">
        <v>142</v>
      </c>
      <c r="D7" s="1" t="s">
        <v>81</v>
      </c>
      <c r="E7" s="1" t="s">
        <v>33</v>
      </c>
      <c r="F7" s="1" t="s">
        <v>34</v>
      </c>
      <c r="G7" s="1" t="s">
        <v>68</v>
      </c>
      <c r="H7" s="1">
        <v>4500</v>
      </c>
      <c r="I7" s="1" t="s">
        <v>71</v>
      </c>
      <c r="J7" s="1">
        <v>3</v>
      </c>
      <c r="K7" s="1">
        <v>13500</v>
      </c>
      <c r="L7" s="1" t="s">
        <v>26</v>
      </c>
      <c r="M7" s="1">
        <v>13500</v>
      </c>
    </row>
    <row r="8" spans="1:13" x14ac:dyDescent="0.3">
      <c r="A8" s="1">
        <v>1021</v>
      </c>
      <c r="B8" s="2">
        <v>46266</v>
      </c>
      <c r="C8" s="1" t="s">
        <v>36</v>
      </c>
      <c r="D8" s="1" t="s">
        <v>37</v>
      </c>
      <c r="E8" s="1" t="s">
        <v>33</v>
      </c>
      <c r="F8" s="1" t="s">
        <v>34</v>
      </c>
      <c r="G8" s="1" t="s">
        <v>88</v>
      </c>
      <c r="H8" s="1">
        <v>5200</v>
      </c>
      <c r="I8" s="1" t="s">
        <v>89</v>
      </c>
      <c r="J8" s="1">
        <v>2</v>
      </c>
      <c r="K8" s="1">
        <v>10400</v>
      </c>
      <c r="L8" s="1" t="s">
        <v>26</v>
      </c>
      <c r="M8" s="1">
        <v>10400</v>
      </c>
    </row>
    <row r="9" spans="1:13" x14ac:dyDescent="0.3">
      <c r="A9" s="1">
        <v>1022</v>
      </c>
      <c r="B9" s="2">
        <v>46266</v>
      </c>
      <c r="C9" s="1" t="s">
        <v>138</v>
      </c>
      <c r="D9" s="1" t="s">
        <v>131</v>
      </c>
      <c r="E9" s="1" t="s">
        <v>33</v>
      </c>
      <c r="F9" s="1" t="s">
        <v>34</v>
      </c>
      <c r="G9" s="1" t="s">
        <v>88</v>
      </c>
      <c r="H9" s="1">
        <v>5200</v>
      </c>
      <c r="I9" s="1" t="s">
        <v>89</v>
      </c>
      <c r="J9" s="1">
        <v>2</v>
      </c>
      <c r="K9" s="1">
        <v>10400</v>
      </c>
      <c r="L9" s="1" t="s">
        <v>26</v>
      </c>
      <c r="M9" s="1">
        <v>10400</v>
      </c>
    </row>
    <row r="10" spans="1:13" x14ac:dyDescent="0.3">
      <c r="A10" s="1">
        <v>1083</v>
      </c>
      <c r="B10" s="2">
        <v>46327</v>
      </c>
      <c r="C10" s="1" t="s">
        <v>46</v>
      </c>
      <c r="D10" s="1" t="s">
        <v>47</v>
      </c>
      <c r="E10" s="1" t="s">
        <v>40</v>
      </c>
      <c r="F10" s="1" t="s">
        <v>41</v>
      </c>
      <c r="G10" s="1" t="s">
        <v>88</v>
      </c>
      <c r="H10" s="1">
        <v>5200</v>
      </c>
      <c r="I10" s="1" t="s">
        <v>89</v>
      </c>
      <c r="J10" s="1">
        <v>2</v>
      </c>
      <c r="K10" s="1">
        <v>10400</v>
      </c>
      <c r="L10" s="1" t="s">
        <v>26</v>
      </c>
      <c r="M10" s="1">
        <v>10400</v>
      </c>
    </row>
    <row r="11" spans="1:13" x14ac:dyDescent="0.3">
      <c r="A11" s="1">
        <v>1054</v>
      </c>
      <c r="B11" s="2">
        <v>46296</v>
      </c>
      <c r="C11" s="1" t="s">
        <v>36</v>
      </c>
      <c r="D11" s="1" t="s">
        <v>37</v>
      </c>
      <c r="E11" s="1" t="s">
        <v>33</v>
      </c>
      <c r="F11" s="1" t="s">
        <v>34</v>
      </c>
      <c r="G11" s="1" t="s">
        <v>68</v>
      </c>
      <c r="H11" s="1">
        <v>3200</v>
      </c>
      <c r="I11" s="1" t="s">
        <v>74</v>
      </c>
      <c r="J11" s="1">
        <v>3</v>
      </c>
      <c r="K11" s="1">
        <v>9600</v>
      </c>
      <c r="L11" s="1" t="s">
        <v>26</v>
      </c>
      <c r="M11" s="1">
        <v>9600</v>
      </c>
    </row>
    <row r="12" spans="1:13" x14ac:dyDescent="0.3">
      <c r="A12" s="1">
        <v>1090</v>
      </c>
      <c r="B12" s="2">
        <v>46327</v>
      </c>
      <c r="C12" s="1" t="s">
        <v>139</v>
      </c>
      <c r="D12" s="1" t="s">
        <v>132</v>
      </c>
      <c r="E12" s="1" t="s">
        <v>14</v>
      </c>
      <c r="F12" s="1" t="s">
        <v>15</v>
      </c>
      <c r="G12" s="1" t="s">
        <v>68</v>
      </c>
      <c r="H12" s="1">
        <v>3200</v>
      </c>
      <c r="I12" s="1" t="s">
        <v>74</v>
      </c>
      <c r="J12" s="1">
        <v>3</v>
      </c>
      <c r="K12" s="1">
        <v>9600</v>
      </c>
      <c r="L12" s="1" t="s">
        <v>26</v>
      </c>
      <c r="M12" s="1">
        <v>9600</v>
      </c>
    </row>
    <row r="13" spans="1:13" x14ac:dyDescent="0.3">
      <c r="A13" s="1">
        <v>1015</v>
      </c>
      <c r="B13" s="2">
        <v>46266</v>
      </c>
      <c r="C13" s="1" t="s">
        <v>46</v>
      </c>
      <c r="D13" s="1" t="s">
        <v>47</v>
      </c>
      <c r="E13" s="1" t="s">
        <v>40</v>
      </c>
      <c r="F13" s="1" t="s">
        <v>41</v>
      </c>
      <c r="G13" s="1" t="s">
        <v>68</v>
      </c>
      <c r="H13" s="1">
        <v>4500</v>
      </c>
      <c r="I13" s="1" t="s">
        <v>71</v>
      </c>
      <c r="J13" s="1">
        <v>2</v>
      </c>
      <c r="K13" s="1">
        <v>9000</v>
      </c>
      <c r="L13" s="1" t="s">
        <v>26</v>
      </c>
      <c r="M13" s="1">
        <v>9000</v>
      </c>
    </row>
    <row r="14" spans="1:13" x14ac:dyDescent="0.3">
      <c r="A14" s="1">
        <v>1049</v>
      </c>
      <c r="B14" s="2">
        <v>46296</v>
      </c>
      <c r="C14" s="1" t="s">
        <v>142</v>
      </c>
      <c r="D14" s="1" t="s">
        <v>81</v>
      </c>
      <c r="E14" s="1" t="s">
        <v>33</v>
      </c>
      <c r="F14" s="1" t="s">
        <v>34</v>
      </c>
      <c r="G14" s="1" t="s">
        <v>68</v>
      </c>
      <c r="H14" s="1">
        <v>4500</v>
      </c>
      <c r="I14" s="1" t="s">
        <v>71</v>
      </c>
      <c r="J14" s="1">
        <v>2</v>
      </c>
      <c r="K14" s="1">
        <v>9000</v>
      </c>
      <c r="L14" s="1" t="s">
        <v>26</v>
      </c>
      <c r="M14" s="1">
        <v>9000</v>
      </c>
    </row>
    <row r="15" spans="1:13" x14ac:dyDescent="0.3">
      <c r="A15" s="1">
        <v>1016</v>
      </c>
      <c r="B15" s="2">
        <v>46266</v>
      </c>
      <c r="C15" s="1" t="s">
        <v>27</v>
      </c>
      <c r="D15" s="1" t="s">
        <v>28</v>
      </c>
      <c r="E15" s="1" t="s">
        <v>22</v>
      </c>
      <c r="F15" s="1" t="s">
        <v>23</v>
      </c>
      <c r="G15" s="1" t="s">
        <v>16</v>
      </c>
      <c r="H15" s="1">
        <v>2500</v>
      </c>
      <c r="I15" s="1" t="s">
        <v>29</v>
      </c>
      <c r="J15" s="1">
        <v>3</v>
      </c>
      <c r="K15" s="1">
        <v>7500</v>
      </c>
      <c r="L15" s="1" t="s">
        <v>26</v>
      </c>
      <c r="M15" s="1">
        <v>7500</v>
      </c>
    </row>
    <row r="16" spans="1:13" x14ac:dyDescent="0.3">
      <c r="A16" s="1">
        <v>1019</v>
      </c>
      <c r="B16" s="2">
        <v>46266</v>
      </c>
      <c r="C16" s="1" t="s">
        <v>138</v>
      </c>
      <c r="D16" s="1" t="s">
        <v>131</v>
      </c>
      <c r="E16" s="1" t="s">
        <v>33</v>
      </c>
      <c r="F16" s="1" t="s">
        <v>34</v>
      </c>
      <c r="G16" s="1" t="s">
        <v>16</v>
      </c>
      <c r="H16" s="1">
        <v>3600</v>
      </c>
      <c r="I16" s="1" t="s">
        <v>24</v>
      </c>
      <c r="J16" s="1">
        <v>2</v>
      </c>
      <c r="K16" s="1">
        <v>7200</v>
      </c>
      <c r="L16" s="1" t="s">
        <v>26</v>
      </c>
      <c r="M16" s="1">
        <v>7200</v>
      </c>
    </row>
    <row r="17" spans="1:13" x14ac:dyDescent="0.3">
      <c r="A17" s="1">
        <v>1034</v>
      </c>
      <c r="B17" s="2">
        <v>46296</v>
      </c>
      <c r="C17" s="1" t="s">
        <v>54</v>
      </c>
      <c r="D17" s="1" t="s">
        <v>55</v>
      </c>
      <c r="E17" s="1" t="s">
        <v>22</v>
      </c>
      <c r="F17" s="1" t="s">
        <v>23</v>
      </c>
      <c r="G17" s="1" t="s">
        <v>16</v>
      </c>
      <c r="H17" s="1">
        <v>3600</v>
      </c>
      <c r="I17" s="1" t="s">
        <v>24</v>
      </c>
      <c r="J17" s="1">
        <v>2</v>
      </c>
      <c r="K17" s="1">
        <v>7200</v>
      </c>
      <c r="L17" s="1" t="s">
        <v>26</v>
      </c>
      <c r="M17" s="1">
        <v>7200</v>
      </c>
    </row>
    <row r="18" spans="1:13" x14ac:dyDescent="0.3">
      <c r="A18" s="1">
        <v>1074</v>
      </c>
      <c r="B18" s="2">
        <v>46327</v>
      </c>
      <c r="C18" s="1" t="s">
        <v>62</v>
      </c>
      <c r="D18" s="1" t="s">
        <v>63</v>
      </c>
      <c r="E18" s="1" t="s">
        <v>22</v>
      </c>
      <c r="F18" s="1" t="s">
        <v>23</v>
      </c>
      <c r="G18" s="1" t="s">
        <v>16</v>
      </c>
      <c r="H18" s="1">
        <v>3600</v>
      </c>
      <c r="I18" s="1" t="s">
        <v>24</v>
      </c>
      <c r="J18" s="1">
        <v>2</v>
      </c>
      <c r="K18" s="1">
        <v>7200</v>
      </c>
      <c r="L18" s="1" t="s">
        <v>26</v>
      </c>
      <c r="M18" s="1">
        <v>7200</v>
      </c>
    </row>
    <row r="19" spans="1:13" x14ac:dyDescent="0.3">
      <c r="A19" s="1">
        <v>1086</v>
      </c>
      <c r="B19" s="2">
        <v>46327</v>
      </c>
      <c r="C19" s="1" t="s">
        <v>36</v>
      </c>
      <c r="D19" s="1" t="s">
        <v>37</v>
      </c>
      <c r="E19" s="1" t="s">
        <v>33</v>
      </c>
      <c r="F19" s="1" t="s">
        <v>34</v>
      </c>
      <c r="G19" s="1" t="s">
        <v>16</v>
      </c>
      <c r="H19" s="1">
        <v>3600</v>
      </c>
      <c r="I19" s="1" t="s">
        <v>24</v>
      </c>
      <c r="J19" s="1">
        <v>2</v>
      </c>
      <c r="K19" s="1">
        <v>7200</v>
      </c>
      <c r="L19" s="1" t="s">
        <v>26</v>
      </c>
      <c r="M19" s="1">
        <v>7200</v>
      </c>
    </row>
    <row r="20" spans="1:13" x14ac:dyDescent="0.3">
      <c r="A20" s="1">
        <v>1008</v>
      </c>
      <c r="B20" s="2">
        <v>46266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68</v>
      </c>
      <c r="H20" s="1">
        <v>3200</v>
      </c>
      <c r="I20" s="1" t="s">
        <v>74</v>
      </c>
      <c r="J20" s="1">
        <v>2</v>
      </c>
      <c r="K20" s="1">
        <v>6400</v>
      </c>
      <c r="L20" s="1" t="s">
        <v>26</v>
      </c>
      <c r="M20" s="1">
        <v>6400</v>
      </c>
    </row>
    <row r="21" spans="1:13" x14ac:dyDescent="0.3">
      <c r="A21" s="1">
        <v>1020</v>
      </c>
      <c r="B21" s="2">
        <v>46266</v>
      </c>
      <c r="C21" s="1" t="s">
        <v>56</v>
      </c>
      <c r="D21" s="1" t="s">
        <v>57</v>
      </c>
      <c r="E21" s="1" t="s">
        <v>40</v>
      </c>
      <c r="F21" s="1" t="s">
        <v>41</v>
      </c>
      <c r="G21" s="1" t="s">
        <v>68</v>
      </c>
      <c r="H21" s="1">
        <v>3200</v>
      </c>
      <c r="I21" s="1" t="s">
        <v>74</v>
      </c>
      <c r="J21" s="1">
        <v>2</v>
      </c>
      <c r="K21" s="1">
        <v>6400</v>
      </c>
      <c r="L21" s="1" t="s">
        <v>26</v>
      </c>
      <c r="M21" s="1">
        <v>6400</v>
      </c>
    </row>
    <row r="22" spans="1:13" x14ac:dyDescent="0.3">
      <c r="A22" s="1">
        <v>1062</v>
      </c>
      <c r="B22" s="2">
        <v>46327</v>
      </c>
      <c r="C22" s="1" t="s">
        <v>141</v>
      </c>
      <c r="D22" s="1" t="s">
        <v>49</v>
      </c>
      <c r="E22" s="1" t="s">
        <v>22</v>
      </c>
      <c r="F22" s="1" t="s">
        <v>23</v>
      </c>
      <c r="G22" s="1" t="s">
        <v>68</v>
      </c>
      <c r="H22" s="1">
        <v>3200</v>
      </c>
      <c r="I22" s="1" t="s">
        <v>74</v>
      </c>
      <c r="J22" s="1">
        <v>2</v>
      </c>
      <c r="K22" s="1">
        <v>6400</v>
      </c>
      <c r="L22" s="1" t="s">
        <v>26</v>
      </c>
      <c r="M22" s="1">
        <v>6400</v>
      </c>
    </row>
    <row r="23" spans="1:13" x14ac:dyDescent="0.3">
      <c r="A23" s="1">
        <v>1081</v>
      </c>
      <c r="B23" s="2">
        <v>46327</v>
      </c>
      <c r="C23" s="1" t="s">
        <v>138</v>
      </c>
      <c r="D23" s="1" t="s">
        <v>131</v>
      </c>
      <c r="E23" s="1" t="s">
        <v>33</v>
      </c>
      <c r="F23" s="1" t="s">
        <v>34</v>
      </c>
      <c r="G23" s="1" t="s">
        <v>68</v>
      </c>
      <c r="H23" s="1">
        <v>3200</v>
      </c>
      <c r="I23" s="1" t="s">
        <v>74</v>
      </c>
      <c r="J23" s="1">
        <v>2</v>
      </c>
      <c r="K23" s="1">
        <v>6400</v>
      </c>
      <c r="L23" s="1" t="s">
        <v>26</v>
      </c>
      <c r="M23" s="1">
        <v>6400</v>
      </c>
    </row>
    <row r="24" spans="1:13" x14ac:dyDescent="0.3">
      <c r="A24" s="1">
        <v>1059</v>
      </c>
      <c r="B24" s="2">
        <v>46327</v>
      </c>
      <c r="C24" s="1" t="s">
        <v>38</v>
      </c>
      <c r="D24" s="1" t="s">
        <v>133</v>
      </c>
      <c r="E24" s="1" t="s">
        <v>40</v>
      </c>
      <c r="F24" s="1" t="s">
        <v>41</v>
      </c>
      <c r="G24" s="1" t="s">
        <v>68</v>
      </c>
      <c r="H24" s="1">
        <v>2800</v>
      </c>
      <c r="I24" s="1" t="s">
        <v>69</v>
      </c>
      <c r="J24" s="1">
        <v>2</v>
      </c>
      <c r="K24" s="1">
        <v>5600</v>
      </c>
      <c r="L24" s="1" t="s">
        <v>26</v>
      </c>
      <c r="M24" s="1">
        <v>5600</v>
      </c>
    </row>
    <row r="25" spans="1:13" x14ac:dyDescent="0.3">
      <c r="A25" s="1">
        <v>1053</v>
      </c>
      <c r="B25" s="2">
        <v>46296</v>
      </c>
      <c r="C25" s="1" t="s">
        <v>56</v>
      </c>
      <c r="D25" s="1" t="s">
        <v>57</v>
      </c>
      <c r="E25" s="1" t="s">
        <v>40</v>
      </c>
      <c r="F25" s="1" t="s">
        <v>41</v>
      </c>
      <c r="G25" s="1" t="s">
        <v>88</v>
      </c>
      <c r="H25" s="1">
        <v>5200</v>
      </c>
      <c r="I25" s="1" t="s">
        <v>89</v>
      </c>
      <c r="J25" s="1">
        <v>1</v>
      </c>
      <c r="K25" s="1">
        <v>5200</v>
      </c>
      <c r="L25" s="1" t="s">
        <v>26</v>
      </c>
      <c r="M25" s="1">
        <v>5200</v>
      </c>
    </row>
    <row r="26" spans="1:13" x14ac:dyDescent="0.3">
      <c r="A26" s="1">
        <v>1067</v>
      </c>
      <c r="B26" s="2">
        <v>46327</v>
      </c>
      <c r="C26" s="1" t="s">
        <v>38</v>
      </c>
      <c r="D26" s="1" t="s">
        <v>133</v>
      </c>
      <c r="E26" s="1" t="s">
        <v>40</v>
      </c>
      <c r="F26" s="1" t="s">
        <v>41</v>
      </c>
      <c r="G26" s="1" t="s">
        <v>88</v>
      </c>
      <c r="H26" s="1">
        <v>5200</v>
      </c>
      <c r="I26" s="1" t="s">
        <v>89</v>
      </c>
      <c r="J26" s="1">
        <v>1</v>
      </c>
      <c r="K26" s="1">
        <v>5200</v>
      </c>
      <c r="L26" s="1" t="s">
        <v>26</v>
      </c>
      <c r="M26" s="1">
        <v>5200</v>
      </c>
    </row>
    <row r="27" spans="1:13" x14ac:dyDescent="0.3">
      <c r="A27" s="1">
        <v>1029</v>
      </c>
      <c r="B27" s="2">
        <v>46296</v>
      </c>
      <c r="C27" s="1" t="s">
        <v>136</v>
      </c>
      <c r="D27" s="1" t="s">
        <v>44</v>
      </c>
      <c r="E27" s="1" t="s">
        <v>14</v>
      </c>
      <c r="F27" s="1" t="s">
        <v>15</v>
      </c>
      <c r="G27" s="1" t="s">
        <v>16</v>
      </c>
      <c r="H27" s="1">
        <v>2500</v>
      </c>
      <c r="I27" s="1" t="s">
        <v>29</v>
      </c>
      <c r="J27" s="1">
        <v>2</v>
      </c>
      <c r="K27" s="1">
        <v>5000</v>
      </c>
      <c r="L27" s="1" t="s">
        <v>26</v>
      </c>
      <c r="M27" s="1">
        <v>5000</v>
      </c>
    </row>
    <row r="28" spans="1:13" x14ac:dyDescent="0.3">
      <c r="A28" s="1">
        <v>1030</v>
      </c>
      <c r="B28" s="2">
        <v>46296</v>
      </c>
      <c r="C28" s="1" t="s">
        <v>46</v>
      </c>
      <c r="D28" s="1" t="s">
        <v>47</v>
      </c>
      <c r="E28" s="1" t="s">
        <v>40</v>
      </c>
      <c r="F28" s="1" t="s">
        <v>41</v>
      </c>
      <c r="G28" s="1" t="s">
        <v>16</v>
      </c>
      <c r="H28" s="1">
        <v>2500</v>
      </c>
      <c r="I28" s="1" t="s">
        <v>29</v>
      </c>
      <c r="J28" s="1">
        <v>2</v>
      </c>
      <c r="K28" s="1">
        <v>5000</v>
      </c>
      <c r="L28" s="1" t="s">
        <v>26</v>
      </c>
      <c r="M28" s="1">
        <v>5000</v>
      </c>
    </row>
    <row r="29" spans="1:13" x14ac:dyDescent="0.3">
      <c r="A29" s="1">
        <v>1014</v>
      </c>
      <c r="B29" s="2">
        <v>46266</v>
      </c>
      <c r="C29" s="1" t="s">
        <v>136</v>
      </c>
      <c r="D29" s="1" t="s">
        <v>44</v>
      </c>
      <c r="E29" s="1" t="s">
        <v>14</v>
      </c>
      <c r="F29" s="1" t="s">
        <v>15</v>
      </c>
      <c r="G29" s="1" t="s">
        <v>68</v>
      </c>
      <c r="H29" s="1">
        <v>4500</v>
      </c>
      <c r="I29" s="1" t="s">
        <v>71</v>
      </c>
      <c r="J29" s="1">
        <v>1</v>
      </c>
      <c r="K29" s="1">
        <v>4500</v>
      </c>
      <c r="L29" s="1" t="s">
        <v>26</v>
      </c>
      <c r="M29" s="1">
        <v>4500</v>
      </c>
    </row>
    <row r="30" spans="1:13" x14ac:dyDescent="0.3">
      <c r="A30" s="1">
        <v>1027</v>
      </c>
      <c r="B30" s="2">
        <v>46296</v>
      </c>
      <c r="C30" s="1" t="s">
        <v>142</v>
      </c>
      <c r="D30" s="1" t="s">
        <v>81</v>
      </c>
      <c r="E30" s="1" t="s">
        <v>33</v>
      </c>
      <c r="F30" s="1" t="s">
        <v>34</v>
      </c>
      <c r="G30" s="1" t="s">
        <v>68</v>
      </c>
      <c r="H30" s="1">
        <v>4500</v>
      </c>
      <c r="I30" s="1" t="s">
        <v>71</v>
      </c>
      <c r="J30" s="1">
        <v>1</v>
      </c>
      <c r="K30" s="1">
        <v>4500</v>
      </c>
      <c r="L30" s="1" t="s">
        <v>26</v>
      </c>
      <c r="M30" s="1">
        <v>4500</v>
      </c>
    </row>
    <row r="31" spans="1:13" x14ac:dyDescent="0.3">
      <c r="A31" s="1">
        <v>1055</v>
      </c>
      <c r="B31" s="2">
        <v>46296</v>
      </c>
      <c r="C31" s="1" t="s">
        <v>51</v>
      </c>
      <c r="D31" s="1" t="s">
        <v>52</v>
      </c>
      <c r="E31" s="1" t="s">
        <v>40</v>
      </c>
      <c r="F31" s="1" t="s">
        <v>41</v>
      </c>
      <c r="G31" s="1" t="s">
        <v>68</v>
      </c>
      <c r="H31" s="1">
        <v>4500</v>
      </c>
      <c r="I31" s="1" t="s">
        <v>71</v>
      </c>
      <c r="J31" s="1">
        <v>1</v>
      </c>
      <c r="K31" s="1">
        <v>4500</v>
      </c>
      <c r="L31" s="1" t="s">
        <v>26</v>
      </c>
      <c r="M31" s="1">
        <v>4500</v>
      </c>
    </row>
    <row r="32" spans="1:13" x14ac:dyDescent="0.3">
      <c r="A32" s="1">
        <v>1073</v>
      </c>
      <c r="B32" s="2">
        <v>46327</v>
      </c>
      <c r="C32" s="1" t="s">
        <v>76</v>
      </c>
      <c r="D32" s="1" t="s">
        <v>77</v>
      </c>
      <c r="E32" s="1" t="s">
        <v>14</v>
      </c>
      <c r="F32" s="1" t="s">
        <v>15</v>
      </c>
      <c r="G32" s="1" t="s">
        <v>68</v>
      </c>
      <c r="H32" s="1">
        <v>4500</v>
      </c>
      <c r="I32" s="1" t="s">
        <v>71</v>
      </c>
      <c r="J32" s="1">
        <v>1</v>
      </c>
      <c r="K32" s="1">
        <v>4500</v>
      </c>
      <c r="L32" s="1" t="s">
        <v>26</v>
      </c>
      <c r="M32" s="1">
        <v>4500</v>
      </c>
    </row>
    <row r="33" spans="1:13" x14ac:dyDescent="0.3">
      <c r="A33" s="1">
        <v>1087</v>
      </c>
      <c r="B33" s="2">
        <v>46327</v>
      </c>
      <c r="C33" s="1" t="s">
        <v>36</v>
      </c>
      <c r="D33" s="1" t="s">
        <v>37</v>
      </c>
      <c r="E33" s="1" t="s">
        <v>33</v>
      </c>
      <c r="F33" s="1" t="s">
        <v>34</v>
      </c>
      <c r="G33" s="1" t="s">
        <v>68</v>
      </c>
      <c r="H33" s="1">
        <v>4500</v>
      </c>
      <c r="I33" s="1" t="s">
        <v>71</v>
      </c>
      <c r="J33" s="1">
        <v>1</v>
      </c>
      <c r="K33" s="1">
        <v>4500</v>
      </c>
      <c r="L33" s="1" t="s">
        <v>26</v>
      </c>
      <c r="M33" s="1">
        <v>4500</v>
      </c>
    </row>
    <row r="34" spans="1:13" x14ac:dyDescent="0.3">
      <c r="A34" s="1">
        <v>1045</v>
      </c>
      <c r="B34" s="2">
        <v>46296</v>
      </c>
      <c r="C34" s="1" t="s">
        <v>62</v>
      </c>
      <c r="D34" s="1" t="s">
        <v>63</v>
      </c>
      <c r="E34" s="1" t="s">
        <v>22</v>
      </c>
      <c r="F34" s="1" t="s">
        <v>23</v>
      </c>
      <c r="G34" s="1" t="s">
        <v>16</v>
      </c>
      <c r="H34" s="1">
        <v>1400</v>
      </c>
      <c r="I34" s="1" t="s">
        <v>17</v>
      </c>
      <c r="J34" s="1">
        <v>3</v>
      </c>
      <c r="K34" s="1">
        <v>4200</v>
      </c>
      <c r="L34" s="1" t="s">
        <v>26</v>
      </c>
      <c r="M34" s="1">
        <v>4200</v>
      </c>
    </row>
    <row r="35" spans="1:13" x14ac:dyDescent="0.3">
      <c r="A35" s="1">
        <v>1018</v>
      </c>
      <c r="B35" s="2">
        <v>46266</v>
      </c>
      <c r="C35" s="1" t="s">
        <v>36</v>
      </c>
      <c r="D35" s="1" t="s">
        <v>37</v>
      </c>
      <c r="E35" s="1" t="s">
        <v>33</v>
      </c>
      <c r="F35" s="1" t="s">
        <v>34</v>
      </c>
      <c r="G35" s="1" t="s">
        <v>88</v>
      </c>
      <c r="H35" s="1">
        <v>1900</v>
      </c>
      <c r="I35" s="1" t="s">
        <v>93</v>
      </c>
      <c r="J35" s="1">
        <v>2</v>
      </c>
      <c r="K35" s="1">
        <v>3800</v>
      </c>
      <c r="L35" s="1" t="s">
        <v>26</v>
      </c>
      <c r="M35" s="1">
        <v>3800</v>
      </c>
    </row>
    <row r="36" spans="1:13" x14ac:dyDescent="0.3">
      <c r="A36" s="1">
        <v>1012</v>
      </c>
      <c r="B36" s="2">
        <v>46266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16</v>
      </c>
      <c r="H36" s="1">
        <v>3600</v>
      </c>
      <c r="I36" s="1" t="s">
        <v>24</v>
      </c>
      <c r="J36" s="1">
        <v>1</v>
      </c>
      <c r="K36" s="1">
        <v>3600</v>
      </c>
      <c r="L36" s="1" t="s">
        <v>26</v>
      </c>
      <c r="M36" s="1">
        <v>3600</v>
      </c>
    </row>
    <row r="37" spans="1:13" x14ac:dyDescent="0.3">
      <c r="A37" s="1">
        <v>1023</v>
      </c>
      <c r="B37" s="2">
        <v>46266</v>
      </c>
      <c r="C37" s="1" t="s">
        <v>36</v>
      </c>
      <c r="D37" s="1" t="s">
        <v>37</v>
      </c>
      <c r="E37" s="1" t="s">
        <v>33</v>
      </c>
      <c r="F37" s="1" t="s">
        <v>34</v>
      </c>
      <c r="G37" s="1" t="s">
        <v>16</v>
      </c>
      <c r="H37" s="1">
        <v>3600</v>
      </c>
      <c r="I37" s="1" t="s">
        <v>24</v>
      </c>
      <c r="J37" s="1">
        <v>1</v>
      </c>
      <c r="K37" s="1">
        <v>3600</v>
      </c>
      <c r="L37" s="1" t="s">
        <v>26</v>
      </c>
      <c r="M37" s="1">
        <v>3600</v>
      </c>
    </row>
    <row r="38" spans="1:13" x14ac:dyDescent="0.3">
      <c r="A38" s="1">
        <v>1050</v>
      </c>
      <c r="B38" s="2">
        <v>46296</v>
      </c>
      <c r="C38" s="1" t="s">
        <v>27</v>
      </c>
      <c r="D38" s="1" t="s">
        <v>28</v>
      </c>
      <c r="E38" s="1" t="s">
        <v>22</v>
      </c>
      <c r="F38" s="1" t="s">
        <v>23</v>
      </c>
      <c r="G38" s="1" t="s">
        <v>16</v>
      </c>
      <c r="H38" s="1">
        <v>3600</v>
      </c>
      <c r="I38" s="1" t="s">
        <v>24</v>
      </c>
      <c r="J38" s="1">
        <v>1</v>
      </c>
      <c r="K38" s="1">
        <v>3600</v>
      </c>
      <c r="L38" s="1" t="s">
        <v>26</v>
      </c>
      <c r="M38" s="1">
        <v>3600</v>
      </c>
    </row>
    <row r="39" spans="1:13" x14ac:dyDescent="0.3">
      <c r="A39" s="1">
        <v>1084</v>
      </c>
      <c r="B39" s="2">
        <v>46327</v>
      </c>
      <c r="C39" s="1" t="s">
        <v>46</v>
      </c>
      <c r="D39" s="1" t="s">
        <v>47</v>
      </c>
      <c r="E39" s="1" t="s">
        <v>40</v>
      </c>
      <c r="F39" s="1" t="s">
        <v>41</v>
      </c>
      <c r="G39" s="1" t="s">
        <v>16</v>
      </c>
      <c r="H39" s="1">
        <v>3600</v>
      </c>
      <c r="I39" s="1" t="s">
        <v>24</v>
      </c>
      <c r="J39" s="1">
        <v>1</v>
      </c>
      <c r="K39" s="1">
        <v>3600</v>
      </c>
      <c r="L39" s="1" t="s">
        <v>26</v>
      </c>
      <c r="M39" s="1">
        <v>3600</v>
      </c>
    </row>
    <row r="40" spans="1:13" x14ac:dyDescent="0.3">
      <c r="A40" s="1">
        <v>1017</v>
      </c>
      <c r="B40" s="2">
        <v>46266</v>
      </c>
      <c r="C40" s="1" t="s">
        <v>138</v>
      </c>
      <c r="D40" s="1" t="s">
        <v>131</v>
      </c>
      <c r="E40" s="1" t="s">
        <v>33</v>
      </c>
      <c r="F40" s="1" t="s">
        <v>34</v>
      </c>
      <c r="G40" s="1" t="s">
        <v>68</v>
      </c>
      <c r="H40" s="1">
        <v>3200</v>
      </c>
      <c r="I40" s="1" t="s">
        <v>74</v>
      </c>
      <c r="J40" s="1">
        <v>1</v>
      </c>
      <c r="K40" s="1">
        <v>3200</v>
      </c>
      <c r="L40" s="1" t="s">
        <v>26</v>
      </c>
      <c r="M40" s="1">
        <v>3200</v>
      </c>
    </row>
    <row r="41" spans="1:13" x14ac:dyDescent="0.3">
      <c r="A41" s="1">
        <v>1028</v>
      </c>
      <c r="B41" s="2">
        <v>46296</v>
      </c>
      <c r="C41" s="1" t="s">
        <v>51</v>
      </c>
      <c r="D41" s="1" t="s">
        <v>52</v>
      </c>
      <c r="E41" s="1" t="s">
        <v>40</v>
      </c>
      <c r="F41" s="1" t="s">
        <v>41</v>
      </c>
      <c r="G41" s="1" t="s">
        <v>68</v>
      </c>
      <c r="H41" s="1">
        <v>3200</v>
      </c>
      <c r="I41" s="1" t="s">
        <v>74</v>
      </c>
      <c r="J41" s="1">
        <v>1</v>
      </c>
      <c r="K41" s="1">
        <v>3200</v>
      </c>
      <c r="L41" s="1" t="s">
        <v>26</v>
      </c>
      <c r="M41" s="1">
        <v>3200</v>
      </c>
    </row>
    <row r="42" spans="1:13" x14ac:dyDescent="0.3">
      <c r="A42" s="1">
        <v>1066</v>
      </c>
      <c r="B42" s="2">
        <v>46327</v>
      </c>
      <c r="C42" s="1" t="s">
        <v>143</v>
      </c>
      <c r="D42" s="1" t="s">
        <v>134</v>
      </c>
      <c r="E42" s="1" t="s">
        <v>33</v>
      </c>
      <c r="F42" s="1" t="s">
        <v>34</v>
      </c>
      <c r="G42" s="1" t="s">
        <v>68</v>
      </c>
      <c r="H42" s="1">
        <v>3200</v>
      </c>
      <c r="I42" s="1" t="s">
        <v>74</v>
      </c>
      <c r="J42" s="1">
        <v>1</v>
      </c>
      <c r="K42" s="1">
        <v>3200</v>
      </c>
      <c r="L42" s="1" t="s">
        <v>26</v>
      </c>
      <c r="M42" s="1">
        <v>3200</v>
      </c>
    </row>
    <row r="43" spans="1:13" x14ac:dyDescent="0.3">
      <c r="A43" s="1">
        <v>1085</v>
      </c>
      <c r="B43" s="2">
        <v>46327</v>
      </c>
      <c r="C43" s="1" t="s">
        <v>142</v>
      </c>
      <c r="D43" s="1" t="s">
        <v>81</v>
      </c>
      <c r="E43" s="1" t="s">
        <v>33</v>
      </c>
      <c r="F43" s="1" t="s">
        <v>34</v>
      </c>
      <c r="G43" s="1" t="s">
        <v>68</v>
      </c>
      <c r="H43" s="1">
        <v>3200</v>
      </c>
      <c r="I43" s="1" t="s">
        <v>74</v>
      </c>
      <c r="J43" s="1">
        <v>1</v>
      </c>
      <c r="K43" s="1">
        <v>3200</v>
      </c>
      <c r="L43" s="1" t="s">
        <v>26</v>
      </c>
      <c r="M43" s="1">
        <v>3200</v>
      </c>
    </row>
    <row r="44" spans="1:13" x14ac:dyDescent="0.3">
      <c r="A44" s="1">
        <v>1088</v>
      </c>
      <c r="B44" s="2">
        <v>46327</v>
      </c>
      <c r="C44" s="1" t="s">
        <v>20</v>
      </c>
      <c r="D44" s="1" t="s">
        <v>21</v>
      </c>
      <c r="E44" s="1" t="s">
        <v>22</v>
      </c>
      <c r="F44" s="1" t="s">
        <v>23</v>
      </c>
      <c r="G44" s="1" t="s">
        <v>68</v>
      </c>
      <c r="H44" s="1">
        <v>3200</v>
      </c>
      <c r="I44" s="1" t="s">
        <v>74</v>
      </c>
      <c r="J44" s="1">
        <v>1</v>
      </c>
      <c r="K44" s="1">
        <v>3200</v>
      </c>
      <c r="L44" s="1" t="s">
        <v>26</v>
      </c>
      <c r="M44" s="1">
        <v>3200</v>
      </c>
    </row>
    <row r="45" spans="1:13" x14ac:dyDescent="0.3">
      <c r="A45" s="1">
        <v>1038</v>
      </c>
      <c r="B45" s="2">
        <v>46296</v>
      </c>
      <c r="C45" s="1" t="s">
        <v>137</v>
      </c>
      <c r="D45" s="1" t="s">
        <v>130</v>
      </c>
      <c r="E45" s="1" t="s">
        <v>14</v>
      </c>
      <c r="F45" s="1" t="s">
        <v>15</v>
      </c>
      <c r="G45" s="1" t="s">
        <v>16</v>
      </c>
      <c r="H45" s="1">
        <v>1400</v>
      </c>
      <c r="I45" s="1" t="s">
        <v>17</v>
      </c>
      <c r="J45" s="1">
        <v>2</v>
      </c>
      <c r="K45" s="1">
        <v>2800</v>
      </c>
      <c r="L45" s="1" t="s">
        <v>26</v>
      </c>
      <c r="M45" s="1">
        <v>2800</v>
      </c>
    </row>
    <row r="46" spans="1:13" x14ac:dyDescent="0.3">
      <c r="A46" s="1">
        <v>1041</v>
      </c>
      <c r="B46" s="2">
        <v>46296</v>
      </c>
      <c r="C46" s="1" t="s">
        <v>54</v>
      </c>
      <c r="D46" s="1" t="s">
        <v>55</v>
      </c>
      <c r="E46" s="1" t="s">
        <v>22</v>
      </c>
      <c r="F46" s="1" t="s">
        <v>23</v>
      </c>
      <c r="G46" s="1" t="s">
        <v>68</v>
      </c>
      <c r="H46" s="1">
        <v>2800</v>
      </c>
      <c r="I46" s="1" t="s">
        <v>69</v>
      </c>
      <c r="J46" s="1">
        <v>1</v>
      </c>
      <c r="K46" s="1">
        <v>2800</v>
      </c>
      <c r="L46" s="1" t="s">
        <v>26</v>
      </c>
      <c r="M46" s="1">
        <v>2800</v>
      </c>
    </row>
    <row r="47" spans="1:13" x14ac:dyDescent="0.3">
      <c r="A47" s="1">
        <v>1043</v>
      </c>
      <c r="B47" s="2">
        <v>46296</v>
      </c>
      <c r="C47" s="1" t="s">
        <v>82</v>
      </c>
      <c r="D47" s="1" t="s">
        <v>83</v>
      </c>
      <c r="E47" s="1" t="s">
        <v>33</v>
      </c>
      <c r="F47" s="1" t="s">
        <v>34</v>
      </c>
      <c r="G47" s="1" t="s">
        <v>68</v>
      </c>
      <c r="H47" s="1">
        <v>2800</v>
      </c>
      <c r="I47" s="1" t="s">
        <v>69</v>
      </c>
      <c r="J47" s="1">
        <v>1</v>
      </c>
      <c r="K47" s="1">
        <v>2800</v>
      </c>
      <c r="L47" s="1" t="s">
        <v>26</v>
      </c>
      <c r="M47" s="1">
        <v>2800</v>
      </c>
    </row>
    <row r="48" spans="1:13" x14ac:dyDescent="0.3">
      <c r="A48" s="1">
        <v>1051</v>
      </c>
      <c r="B48" s="2">
        <v>46296</v>
      </c>
      <c r="C48" s="1" t="s">
        <v>20</v>
      </c>
      <c r="D48" s="1" t="s">
        <v>21</v>
      </c>
      <c r="E48" s="1" t="s">
        <v>22</v>
      </c>
      <c r="F48" s="1" t="s">
        <v>23</v>
      </c>
      <c r="G48" s="1" t="s">
        <v>16</v>
      </c>
      <c r="H48" s="1">
        <v>1400</v>
      </c>
      <c r="I48" s="1" t="s">
        <v>17</v>
      </c>
      <c r="J48" s="1">
        <v>2</v>
      </c>
      <c r="K48" s="1">
        <v>2800</v>
      </c>
      <c r="L48" s="1" t="s">
        <v>26</v>
      </c>
      <c r="M48" s="1">
        <v>2800</v>
      </c>
    </row>
    <row r="49" spans="1:13" x14ac:dyDescent="0.3">
      <c r="A49" s="1">
        <v>1076</v>
      </c>
      <c r="B49" s="2">
        <v>46327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16</v>
      </c>
      <c r="H49" s="1">
        <v>1400</v>
      </c>
      <c r="I49" s="1" t="s">
        <v>17</v>
      </c>
      <c r="J49" s="1">
        <v>2</v>
      </c>
      <c r="K49" s="1">
        <v>2800</v>
      </c>
      <c r="L49" s="1" t="s">
        <v>26</v>
      </c>
      <c r="M49" s="1">
        <v>2800</v>
      </c>
    </row>
    <row r="50" spans="1:13" x14ac:dyDescent="0.3">
      <c r="A50" s="1">
        <v>1080</v>
      </c>
      <c r="B50" s="2">
        <v>46327</v>
      </c>
      <c r="C50" s="1" t="s">
        <v>76</v>
      </c>
      <c r="D50" s="1" t="s">
        <v>77</v>
      </c>
      <c r="E50" s="1" t="s">
        <v>14</v>
      </c>
      <c r="F50" s="1" t="s">
        <v>15</v>
      </c>
      <c r="G50" s="1" t="s">
        <v>68</v>
      </c>
      <c r="H50" s="1">
        <v>2800</v>
      </c>
      <c r="I50" s="1" t="s">
        <v>69</v>
      </c>
      <c r="J50" s="1">
        <v>1</v>
      </c>
      <c r="K50" s="1">
        <v>2800</v>
      </c>
      <c r="L50" s="1" t="s">
        <v>26</v>
      </c>
      <c r="M50" s="1">
        <v>2800</v>
      </c>
    </row>
    <row r="51" spans="1:13" x14ac:dyDescent="0.3">
      <c r="A51" s="1">
        <v>1032</v>
      </c>
      <c r="B51" s="2">
        <v>46296</v>
      </c>
      <c r="C51" s="1" t="s">
        <v>139</v>
      </c>
      <c r="D51" s="1" t="s">
        <v>132</v>
      </c>
      <c r="E51" s="1" t="s">
        <v>14</v>
      </c>
      <c r="F51" s="1" t="s">
        <v>15</v>
      </c>
      <c r="G51" s="1" t="s">
        <v>88</v>
      </c>
      <c r="H51" s="1">
        <v>1100</v>
      </c>
      <c r="I51" s="1" t="s">
        <v>91</v>
      </c>
      <c r="J51" s="1">
        <v>2</v>
      </c>
      <c r="K51" s="1">
        <v>2200</v>
      </c>
      <c r="L51" s="1" t="s">
        <v>26</v>
      </c>
      <c r="M51" s="1">
        <v>2200</v>
      </c>
    </row>
    <row r="52" spans="1:13" x14ac:dyDescent="0.3">
      <c r="A52" s="1">
        <v>1039</v>
      </c>
      <c r="B52" s="2">
        <v>46296</v>
      </c>
      <c r="C52" s="1" t="s">
        <v>137</v>
      </c>
      <c r="D52" s="1" t="s">
        <v>130</v>
      </c>
      <c r="E52" s="1" t="s">
        <v>14</v>
      </c>
      <c r="F52" s="1" t="s">
        <v>15</v>
      </c>
      <c r="G52" s="1" t="s">
        <v>88</v>
      </c>
      <c r="H52" s="1">
        <v>1100</v>
      </c>
      <c r="I52" s="1" t="s">
        <v>91</v>
      </c>
      <c r="J52" s="1">
        <v>2</v>
      </c>
      <c r="K52" s="1">
        <v>2200</v>
      </c>
      <c r="L52" s="1" t="s">
        <v>26</v>
      </c>
      <c r="M52" s="1">
        <v>2200</v>
      </c>
    </row>
    <row r="53" spans="1:13" x14ac:dyDescent="0.3">
      <c r="A53" s="1">
        <v>1070</v>
      </c>
      <c r="B53" s="2">
        <v>46327</v>
      </c>
      <c r="C53" s="1" t="s">
        <v>140</v>
      </c>
      <c r="D53" s="1" t="s">
        <v>135</v>
      </c>
      <c r="E53" s="1" t="s">
        <v>40</v>
      </c>
      <c r="F53" s="1" t="s">
        <v>41</v>
      </c>
      <c r="G53" s="1" t="s">
        <v>88</v>
      </c>
      <c r="H53" s="1">
        <v>1100</v>
      </c>
      <c r="I53" s="1" t="s">
        <v>91</v>
      </c>
      <c r="J53" s="1">
        <v>2</v>
      </c>
      <c r="K53" s="1">
        <v>2200</v>
      </c>
      <c r="L53" s="1" t="s">
        <v>26</v>
      </c>
      <c r="M53" s="1">
        <v>2200</v>
      </c>
    </row>
    <row r="54" spans="1:13" x14ac:dyDescent="0.3">
      <c r="A54" s="1">
        <v>1007</v>
      </c>
      <c r="B54" s="2">
        <v>46266</v>
      </c>
      <c r="C54" s="1" t="s">
        <v>56</v>
      </c>
      <c r="D54" s="1" t="s">
        <v>57</v>
      </c>
      <c r="E54" s="1" t="s">
        <v>40</v>
      </c>
      <c r="F54" s="1" t="s">
        <v>41</v>
      </c>
      <c r="G54" s="1" t="s">
        <v>88</v>
      </c>
      <c r="H54" s="1">
        <v>1900</v>
      </c>
      <c r="I54" s="1" t="s">
        <v>93</v>
      </c>
      <c r="J54" s="1">
        <v>1</v>
      </c>
      <c r="K54" s="1">
        <v>1900</v>
      </c>
      <c r="L54" s="1" t="s">
        <v>26</v>
      </c>
      <c r="M54" s="1">
        <v>1900</v>
      </c>
    </row>
    <row r="55" spans="1:13" x14ac:dyDescent="0.3">
      <c r="A55" s="1">
        <v>1009</v>
      </c>
      <c r="B55" s="2">
        <v>46266</v>
      </c>
      <c r="C55" s="1" t="s">
        <v>137</v>
      </c>
      <c r="D55" s="1" t="s">
        <v>130</v>
      </c>
      <c r="E55" s="1" t="s">
        <v>14</v>
      </c>
      <c r="F55" s="1" t="s">
        <v>15</v>
      </c>
      <c r="G55" s="1" t="s">
        <v>88</v>
      </c>
      <c r="H55" s="1">
        <v>1900</v>
      </c>
      <c r="I55" s="1" t="s">
        <v>93</v>
      </c>
      <c r="J55" s="1">
        <v>1</v>
      </c>
      <c r="K55" s="1">
        <v>1900</v>
      </c>
      <c r="L55" s="1" t="s">
        <v>26</v>
      </c>
      <c r="M55" s="1">
        <v>1900</v>
      </c>
    </row>
    <row r="56" spans="1:13" x14ac:dyDescent="0.3">
      <c r="A56" s="1">
        <v>1046</v>
      </c>
      <c r="B56" s="2">
        <v>46296</v>
      </c>
      <c r="C56" s="1" t="s">
        <v>138</v>
      </c>
      <c r="D56" s="1" t="s">
        <v>131</v>
      </c>
      <c r="E56" s="1" t="s">
        <v>33</v>
      </c>
      <c r="F56" s="1" t="s">
        <v>34</v>
      </c>
      <c r="G56" s="1" t="s">
        <v>88</v>
      </c>
      <c r="H56" s="1">
        <v>1900</v>
      </c>
      <c r="I56" s="1" t="s">
        <v>93</v>
      </c>
      <c r="J56" s="1">
        <v>1</v>
      </c>
      <c r="K56" s="1">
        <v>1900</v>
      </c>
      <c r="L56" s="1" t="s">
        <v>26</v>
      </c>
      <c r="M56" s="1">
        <v>1900</v>
      </c>
    </row>
    <row r="57" spans="1:13" x14ac:dyDescent="0.3">
      <c r="A57" s="1">
        <v>1072</v>
      </c>
      <c r="B57" s="2">
        <v>46327</v>
      </c>
      <c r="C57" s="1" t="s">
        <v>141</v>
      </c>
      <c r="D57" s="1" t="s">
        <v>49</v>
      </c>
      <c r="E57" s="1" t="s">
        <v>22</v>
      </c>
      <c r="F57" s="1" t="s">
        <v>23</v>
      </c>
      <c r="G57" s="1" t="s">
        <v>88</v>
      </c>
      <c r="H57" s="1">
        <v>1900</v>
      </c>
      <c r="I57" s="1" t="s">
        <v>93</v>
      </c>
      <c r="J57" s="1">
        <v>1</v>
      </c>
      <c r="K57" s="1">
        <v>1900</v>
      </c>
      <c r="L57" s="1" t="s">
        <v>26</v>
      </c>
      <c r="M57" s="1">
        <v>1900</v>
      </c>
    </row>
    <row r="58" spans="1:13" x14ac:dyDescent="0.3">
      <c r="A58" s="1">
        <v>1024</v>
      </c>
      <c r="B58" s="2">
        <v>46266</v>
      </c>
      <c r="C58" s="1" t="s">
        <v>38</v>
      </c>
      <c r="D58" s="1" t="s">
        <v>133</v>
      </c>
      <c r="E58" s="1" t="s">
        <v>40</v>
      </c>
      <c r="F58" s="1" t="s">
        <v>41</v>
      </c>
      <c r="G58" s="1" t="s">
        <v>16</v>
      </c>
      <c r="H58" s="1">
        <v>1400</v>
      </c>
      <c r="I58" s="1" t="s">
        <v>17</v>
      </c>
      <c r="J58" s="1">
        <v>1</v>
      </c>
      <c r="K58" s="1">
        <v>1400</v>
      </c>
      <c r="L58" s="1" t="s">
        <v>26</v>
      </c>
      <c r="M58" s="1">
        <v>1400</v>
      </c>
    </row>
    <row r="59" spans="1:13" x14ac:dyDescent="0.3">
      <c r="A59" s="1">
        <v>1026</v>
      </c>
      <c r="B59" s="2">
        <v>46266</v>
      </c>
      <c r="C59" s="1" t="s">
        <v>138</v>
      </c>
      <c r="D59" s="1" t="s">
        <v>131</v>
      </c>
      <c r="E59" s="1" t="s">
        <v>33</v>
      </c>
      <c r="F59" s="1" t="s">
        <v>34</v>
      </c>
      <c r="G59" s="1" t="s">
        <v>16</v>
      </c>
      <c r="H59" s="1">
        <v>1400</v>
      </c>
      <c r="I59" s="1" t="s">
        <v>17</v>
      </c>
      <c r="J59" s="1">
        <v>1</v>
      </c>
      <c r="K59" s="1">
        <v>1400</v>
      </c>
      <c r="L59" s="1" t="s">
        <v>26</v>
      </c>
      <c r="M59" s="1">
        <v>1400</v>
      </c>
    </row>
    <row r="60" spans="1:13" x14ac:dyDescent="0.3">
      <c r="A60" s="1">
        <v>1079</v>
      </c>
      <c r="B60" s="2">
        <v>46327</v>
      </c>
      <c r="C60" s="1" t="s">
        <v>20</v>
      </c>
      <c r="D60" s="1" t="s">
        <v>21</v>
      </c>
      <c r="E60" s="1" t="s">
        <v>22</v>
      </c>
      <c r="F60" s="1" t="s">
        <v>23</v>
      </c>
      <c r="G60" s="1" t="s">
        <v>16</v>
      </c>
      <c r="H60" s="1">
        <v>1400</v>
      </c>
      <c r="I60" s="1" t="s">
        <v>17</v>
      </c>
      <c r="J60" s="1">
        <v>1</v>
      </c>
      <c r="K60" s="1">
        <v>1400</v>
      </c>
      <c r="L60" s="1" t="s">
        <v>26</v>
      </c>
      <c r="M60" s="1">
        <v>1400</v>
      </c>
    </row>
    <row r="61" spans="1:13" x14ac:dyDescent="0.3">
      <c r="A61" s="1">
        <v>1005</v>
      </c>
      <c r="B61" s="2">
        <v>46266</v>
      </c>
      <c r="C61" s="1" t="s">
        <v>56</v>
      </c>
      <c r="D61" s="1" t="s">
        <v>57</v>
      </c>
      <c r="E61" s="1" t="s">
        <v>40</v>
      </c>
      <c r="F61" s="1" t="s">
        <v>41</v>
      </c>
      <c r="G61" s="1" t="s">
        <v>88</v>
      </c>
      <c r="H61" s="1">
        <v>1100</v>
      </c>
      <c r="I61" s="1" t="s">
        <v>91</v>
      </c>
      <c r="J61" s="1">
        <v>1</v>
      </c>
      <c r="K61" s="1">
        <v>1100</v>
      </c>
      <c r="L61" s="1" t="s">
        <v>26</v>
      </c>
      <c r="M61" s="1">
        <v>1100</v>
      </c>
    </row>
    <row r="62" spans="1:13" x14ac:dyDescent="0.3">
      <c r="A62" s="1">
        <v>1025</v>
      </c>
      <c r="B62" s="2">
        <v>46266</v>
      </c>
      <c r="C62" s="1" t="s">
        <v>54</v>
      </c>
      <c r="D62" s="1" t="s">
        <v>55</v>
      </c>
      <c r="E62" s="1" t="s">
        <v>22</v>
      </c>
      <c r="F62" s="1" t="s">
        <v>23</v>
      </c>
      <c r="G62" s="1" t="s">
        <v>88</v>
      </c>
      <c r="H62" s="1">
        <v>1100</v>
      </c>
      <c r="I62" s="1" t="s">
        <v>91</v>
      </c>
      <c r="J62" s="1">
        <v>1</v>
      </c>
      <c r="K62" s="1">
        <v>1100</v>
      </c>
      <c r="L62" s="1" t="s">
        <v>26</v>
      </c>
      <c r="M62" s="1">
        <v>1100</v>
      </c>
    </row>
    <row r="63" spans="1:13" x14ac:dyDescent="0.3">
      <c r="A63" s="1">
        <v>1048</v>
      </c>
      <c r="B63" s="2">
        <v>46296</v>
      </c>
      <c r="C63" s="1" t="s">
        <v>38</v>
      </c>
      <c r="D63" s="1" t="s">
        <v>133</v>
      </c>
      <c r="E63" s="1" t="s">
        <v>40</v>
      </c>
      <c r="F63" s="1" t="s">
        <v>41</v>
      </c>
      <c r="G63" s="1" t="s">
        <v>88</v>
      </c>
      <c r="H63" s="1">
        <v>1100</v>
      </c>
      <c r="I63" s="1" t="s">
        <v>91</v>
      </c>
      <c r="J63" s="1">
        <v>1</v>
      </c>
      <c r="K63" s="1">
        <v>1100</v>
      </c>
      <c r="L63" s="1" t="s">
        <v>26</v>
      </c>
      <c r="M63" s="1">
        <v>1100</v>
      </c>
    </row>
    <row r="64" spans="1:13" x14ac:dyDescent="0.3">
      <c r="A64" s="1">
        <v>1089</v>
      </c>
      <c r="B64" s="2">
        <v>46327</v>
      </c>
      <c r="C64" s="1" t="s">
        <v>140</v>
      </c>
      <c r="D64" s="1" t="s">
        <v>135</v>
      </c>
      <c r="E64" s="1" t="s">
        <v>40</v>
      </c>
      <c r="F64" s="1" t="s">
        <v>41</v>
      </c>
      <c r="G64" s="1" t="s">
        <v>88</v>
      </c>
      <c r="H64" s="1">
        <v>1100</v>
      </c>
      <c r="I64" s="1" t="s">
        <v>91</v>
      </c>
      <c r="J64" s="1">
        <v>1</v>
      </c>
      <c r="K64" s="1">
        <v>1100</v>
      </c>
      <c r="L64" s="1" t="s">
        <v>26</v>
      </c>
      <c r="M64" s="4">
        <v>1100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5"/>
  <sheetViews>
    <sheetView workbookViewId="0">
      <selection activeCell="M3" sqref="M3"/>
    </sheetView>
  </sheetViews>
  <sheetFormatPr defaultRowHeight="14.4" x14ac:dyDescent="0.3"/>
  <cols>
    <col min="2" max="2" width="12.21875" bestFit="1" customWidth="1"/>
    <col min="4" max="4" width="9.88671875" bestFit="1" customWidth="1"/>
    <col min="6" max="6" width="16.109375" bestFit="1" customWidth="1"/>
    <col min="9" max="9" width="9.6640625" bestFit="1" customWidth="1"/>
    <col min="11" max="11" width="9.44140625" bestFit="1" customWidth="1"/>
    <col min="12" max="12" width="11.21875" bestFit="1" customWidth="1"/>
    <col min="13" max="13" width="19.77734375" bestFit="1" customWidth="1"/>
    <col min="14" max="14" width="7.88671875" bestFit="1" customWidth="1"/>
    <col min="15" max="15" width="9.5546875" bestFit="1" customWidth="1"/>
  </cols>
  <sheetData>
    <row r="2" spans="1:15" ht="23.4" x14ac:dyDescent="0.45">
      <c r="A2" s="12" t="s">
        <v>0</v>
      </c>
      <c r="B2" s="12" t="s">
        <v>1</v>
      </c>
      <c r="C2" s="12" t="s">
        <v>4</v>
      </c>
      <c r="D2" s="12" t="s">
        <v>6</v>
      </c>
      <c r="E2" s="12" t="s">
        <v>101</v>
      </c>
      <c r="F2" s="12" t="s">
        <v>8</v>
      </c>
      <c r="G2" s="12" t="s">
        <v>9</v>
      </c>
      <c r="H2" s="12" t="s">
        <v>102</v>
      </c>
      <c r="I2" s="12" t="s">
        <v>11</v>
      </c>
      <c r="K2" s="15" t="s">
        <v>110</v>
      </c>
      <c r="L2" s="15" t="s">
        <v>111</v>
      </c>
      <c r="M2" s="15" t="s">
        <v>112</v>
      </c>
      <c r="N2" s="15" t="s">
        <v>113</v>
      </c>
      <c r="O2" s="15" t="s">
        <v>114</v>
      </c>
    </row>
    <row r="3" spans="1:15" ht="23.4" x14ac:dyDescent="0.45">
      <c r="A3" s="13">
        <v>1061</v>
      </c>
      <c r="B3" s="14">
        <v>46327</v>
      </c>
      <c r="C3" s="13" t="s">
        <v>22</v>
      </c>
      <c r="D3" s="13" t="s">
        <v>88</v>
      </c>
      <c r="E3" s="13">
        <v>5200</v>
      </c>
      <c r="F3" s="13" t="s">
        <v>89</v>
      </c>
      <c r="G3" s="13">
        <v>3</v>
      </c>
      <c r="H3" s="13">
        <v>15600</v>
      </c>
      <c r="I3" s="13" t="s">
        <v>26</v>
      </c>
      <c r="K3" s="16">
        <f>COUNT(H3:H65)</f>
        <v>63</v>
      </c>
      <c r="L3" s="16">
        <f>SUM(H3:H65)</f>
        <v>346200</v>
      </c>
      <c r="M3" s="17">
        <f>AVERAGE(H3:H65)</f>
        <v>5495.2380952380954</v>
      </c>
      <c r="N3" s="16">
        <f>MIN(H3:H65)</f>
        <v>1100</v>
      </c>
      <c r="O3" s="16">
        <f>MAX(H3:H65)</f>
        <v>15600</v>
      </c>
    </row>
    <row r="4" spans="1:15" x14ac:dyDescent="0.3">
      <c r="A4" s="1">
        <v>1065</v>
      </c>
      <c r="B4" s="2">
        <v>46327</v>
      </c>
      <c r="C4" s="1" t="s">
        <v>40</v>
      </c>
      <c r="D4" s="1" t="s">
        <v>88</v>
      </c>
      <c r="E4" s="1">
        <v>5200</v>
      </c>
      <c r="F4" s="1" t="s">
        <v>89</v>
      </c>
      <c r="G4" s="1">
        <v>3</v>
      </c>
      <c r="H4" s="1">
        <v>15600</v>
      </c>
      <c r="I4" s="1" t="s">
        <v>26</v>
      </c>
    </row>
    <row r="5" spans="1:15" x14ac:dyDescent="0.3">
      <c r="A5" s="13">
        <v>1069</v>
      </c>
      <c r="B5" s="14">
        <v>46327</v>
      </c>
      <c r="C5" s="13" t="s">
        <v>14</v>
      </c>
      <c r="D5" s="13" t="s">
        <v>88</v>
      </c>
      <c r="E5" s="13">
        <v>5200</v>
      </c>
      <c r="F5" s="13" t="s">
        <v>89</v>
      </c>
      <c r="G5" s="13">
        <v>3</v>
      </c>
      <c r="H5" s="13">
        <v>15600</v>
      </c>
      <c r="I5" s="13" t="s">
        <v>26</v>
      </c>
    </row>
    <row r="6" spans="1:15" x14ac:dyDescent="0.3">
      <c r="A6" s="1">
        <v>1077</v>
      </c>
      <c r="B6" s="2">
        <v>46327</v>
      </c>
      <c r="C6" s="1" t="s">
        <v>14</v>
      </c>
      <c r="D6" s="1" t="s">
        <v>88</v>
      </c>
      <c r="E6" s="1">
        <v>5200</v>
      </c>
      <c r="F6" s="1" t="s">
        <v>89</v>
      </c>
      <c r="G6" s="1">
        <v>3</v>
      </c>
      <c r="H6" s="1">
        <v>15600</v>
      </c>
      <c r="I6" s="1" t="s">
        <v>26</v>
      </c>
    </row>
    <row r="7" spans="1:15" x14ac:dyDescent="0.3">
      <c r="A7" s="13">
        <v>1006</v>
      </c>
      <c r="B7" s="14">
        <v>46266</v>
      </c>
      <c r="C7" s="13" t="s">
        <v>33</v>
      </c>
      <c r="D7" s="13" t="s">
        <v>68</v>
      </c>
      <c r="E7" s="13">
        <v>4500</v>
      </c>
      <c r="F7" s="13" t="s">
        <v>71</v>
      </c>
      <c r="G7" s="13">
        <v>3</v>
      </c>
      <c r="H7" s="13">
        <v>13500</v>
      </c>
      <c r="I7" s="13" t="s">
        <v>26</v>
      </c>
    </row>
    <row r="8" spans="1:15" x14ac:dyDescent="0.3">
      <c r="A8" s="1">
        <v>1040</v>
      </c>
      <c r="B8" s="2">
        <v>46296</v>
      </c>
      <c r="C8" s="1" t="s">
        <v>33</v>
      </c>
      <c r="D8" s="1" t="s">
        <v>68</v>
      </c>
      <c r="E8" s="1">
        <v>4500</v>
      </c>
      <c r="F8" s="1" t="s">
        <v>71</v>
      </c>
      <c r="G8" s="1">
        <v>3</v>
      </c>
      <c r="H8" s="1">
        <v>13500</v>
      </c>
      <c r="I8" s="1" t="s">
        <v>26</v>
      </c>
    </row>
    <row r="9" spans="1:15" x14ac:dyDescent="0.3">
      <c r="A9" s="13">
        <v>1021</v>
      </c>
      <c r="B9" s="14">
        <v>46266</v>
      </c>
      <c r="C9" s="13" t="s">
        <v>33</v>
      </c>
      <c r="D9" s="13" t="s">
        <v>88</v>
      </c>
      <c r="E9" s="13">
        <v>5200</v>
      </c>
      <c r="F9" s="13" t="s">
        <v>89</v>
      </c>
      <c r="G9" s="13">
        <v>2</v>
      </c>
      <c r="H9" s="13">
        <v>10400</v>
      </c>
      <c r="I9" s="13" t="s">
        <v>26</v>
      </c>
    </row>
    <row r="10" spans="1:15" x14ac:dyDescent="0.3">
      <c r="A10" s="1">
        <v>1022</v>
      </c>
      <c r="B10" s="2">
        <v>46266</v>
      </c>
      <c r="C10" s="1" t="s">
        <v>33</v>
      </c>
      <c r="D10" s="1" t="s">
        <v>88</v>
      </c>
      <c r="E10" s="1">
        <v>5200</v>
      </c>
      <c r="F10" s="1" t="s">
        <v>89</v>
      </c>
      <c r="G10" s="1">
        <v>2</v>
      </c>
      <c r="H10" s="1">
        <v>10400</v>
      </c>
      <c r="I10" s="1" t="s">
        <v>26</v>
      </c>
    </row>
    <row r="11" spans="1:15" x14ac:dyDescent="0.3">
      <c r="A11" s="13">
        <v>1083</v>
      </c>
      <c r="B11" s="14">
        <v>46327</v>
      </c>
      <c r="C11" s="13" t="s">
        <v>40</v>
      </c>
      <c r="D11" s="13" t="s">
        <v>88</v>
      </c>
      <c r="E11" s="13">
        <v>5200</v>
      </c>
      <c r="F11" s="13" t="s">
        <v>89</v>
      </c>
      <c r="G11" s="13">
        <v>2</v>
      </c>
      <c r="H11" s="13">
        <v>10400</v>
      </c>
      <c r="I11" s="13" t="s">
        <v>26</v>
      </c>
    </row>
    <row r="12" spans="1:15" x14ac:dyDescent="0.3">
      <c r="A12" s="1">
        <v>1054</v>
      </c>
      <c r="B12" s="2">
        <v>46296</v>
      </c>
      <c r="C12" s="1" t="s">
        <v>33</v>
      </c>
      <c r="D12" s="1" t="s">
        <v>68</v>
      </c>
      <c r="E12" s="1">
        <v>3200</v>
      </c>
      <c r="F12" s="1" t="s">
        <v>74</v>
      </c>
      <c r="G12" s="1">
        <v>3</v>
      </c>
      <c r="H12" s="1">
        <v>9600</v>
      </c>
      <c r="I12" s="1" t="s">
        <v>26</v>
      </c>
    </row>
    <row r="13" spans="1:15" x14ac:dyDescent="0.3">
      <c r="A13" s="13">
        <v>1090</v>
      </c>
      <c r="B13" s="14">
        <v>46327</v>
      </c>
      <c r="C13" s="13" t="s">
        <v>14</v>
      </c>
      <c r="D13" s="13" t="s">
        <v>68</v>
      </c>
      <c r="E13" s="13">
        <v>3200</v>
      </c>
      <c r="F13" s="13" t="s">
        <v>74</v>
      </c>
      <c r="G13" s="13">
        <v>3</v>
      </c>
      <c r="H13" s="13">
        <v>9600</v>
      </c>
      <c r="I13" s="13" t="s">
        <v>26</v>
      </c>
    </row>
    <row r="14" spans="1:15" x14ac:dyDescent="0.3">
      <c r="A14" s="1">
        <v>1015</v>
      </c>
      <c r="B14" s="2">
        <v>46266</v>
      </c>
      <c r="C14" s="1" t="s">
        <v>40</v>
      </c>
      <c r="D14" s="1" t="s">
        <v>68</v>
      </c>
      <c r="E14" s="1">
        <v>4500</v>
      </c>
      <c r="F14" s="1" t="s">
        <v>71</v>
      </c>
      <c r="G14" s="1">
        <v>2</v>
      </c>
      <c r="H14" s="1">
        <v>9000</v>
      </c>
      <c r="I14" s="1" t="s">
        <v>26</v>
      </c>
    </row>
    <row r="15" spans="1:15" x14ac:dyDescent="0.3">
      <c r="A15" s="13">
        <v>1049</v>
      </c>
      <c r="B15" s="14">
        <v>46296</v>
      </c>
      <c r="C15" s="13" t="s">
        <v>33</v>
      </c>
      <c r="D15" s="13" t="s">
        <v>68</v>
      </c>
      <c r="E15" s="13">
        <v>4500</v>
      </c>
      <c r="F15" s="13" t="s">
        <v>71</v>
      </c>
      <c r="G15" s="13">
        <v>2</v>
      </c>
      <c r="H15" s="13">
        <v>9000</v>
      </c>
      <c r="I15" s="13" t="s">
        <v>26</v>
      </c>
    </row>
    <row r="16" spans="1:15" x14ac:dyDescent="0.3">
      <c r="A16" s="1">
        <v>1016</v>
      </c>
      <c r="B16" s="2">
        <v>46266</v>
      </c>
      <c r="C16" s="1" t="s">
        <v>22</v>
      </c>
      <c r="D16" s="1" t="s">
        <v>16</v>
      </c>
      <c r="E16" s="1">
        <v>2500</v>
      </c>
      <c r="F16" s="1" t="s">
        <v>29</v>
      </c>
      <c r="G16" s="1">
        <v>3</v>
      </c>
      <c r="H16" s="1">
        <v>7500</v>
      </c>
      <c r="I16" s="1" t="s">
        <v>26</v>
      </c>
    </row>
    <row r="17" spans="1:9" x14ac:dyDescent="0.3">
      <c r="A17" s="13">
        <v>1019</v>
      </c>
      <c r="B17" s="14">
        <v>46266</v>
      </c>
      <c r="C17" s="13" t="s">
        <v>33</v>
      </c>
      <c r="D17" s="13" t="s">
        <v>16</v>
      </c>
      <c r="E17" s="13">
        <v>3600</v>
      </c>
      <c r="F17" s="13" t="s">
        <v>24</v>
      </c>
      <c r="G17" s="13">
        <v>2</v>
      </c>
      <c r="H17" s="13">
        <v>7200</v>
      </c>
      <c r="I17" s="13" t="s">
        <v>26</v>
      </c>
    </row>
    <row r="18" spans="1:9" x14ac:dyDescent="0.3">
      <c r="A18" s="1">
        <v>1034</v>
      </c>
      <c r="B18" s="2">
        <v>46296</v>
      </c>
      <c r="C18" s="1" t="s">
        <v>22</v>
      </c>
      <c r="D18" s="1" t="s">
        <v>16</v>
      </c>
      <c r="E18" s="1">
        <v>3600</v>
      </c>
      <c r="F18" s="1" t="s">
        <v>24</v>
      </c>
      <c r="G18" s="1">
        <v>2</v>
      </c>
      <c r="H18" s="1">
        <v>7200</v>
      </c>
      <c r="I18" s="1" t="s">
        <v>26</v>
      </c>
    </row>
    <row r="19" spans="1:9" x14ac:dyDescent="0.3">
      <c r="A19" s="13">
        <v>1074</v>
      </c>
      <c r="B19" s="14">
        <v>46327</v>
      </c>
      <c r="C19" s="13" t="s">
        <v>22</v>
      </c>
      <c r="D19" s="13" t="s">
        <v>16</v>
      </c>
      <c r="E19" s="13">
        <v>3600</v>
      </c>
      <c r="F19" s="13" t="s">
        <v>24</v>
      </c>
      <c r="G19" s="13">
        <v>2</v>
      </c>
      <c r="H19" s="13">
        <v>7200</v>
      </c>
      <c r="I19" s="13" t="s">
        <v>26</v>
      </c>
    </row>
    <row r="20" spans="1:9" x14ac:dyDescent="0.3">
      <c r="A20" s="1">
        <v>1086</v>
      </c>
      <c r="B20" s="2">
        <v>46327</v>
      </c>
      <c r="C20" s="1" t="s">
        <v>33</v>
      </c>
      <c r="D20" s="1" t="s">
        <v>16</v>
      </c>
      <c r="E20" s="1">
        <v>3600</v>
      </c>
      <c r="F20" s="1" t="s">
        <v>24</v>
      </c>
      <c r="G20" s="1">
        <v>2</v>
      </c>
      <c r="H20" s="1">
        <v>7200</v>
      </c>
      <c r="I20" s="1" t="s">
        <v>26</v>
      </c>
    </row>
    <row r="21" spans="1:9" x14ac:dyDescent="0.3">
      <c r="A21" s="13">
        <v>1008</v>
      </c>
      <c r="B21" s="14">
        <v>46266</v>
      </c>
      <c r="C21" s="13" t="s">
        <v>22</v>
      </c>
      <c r="D21" s="13" t="s">
        <v>68</v>
      </c>
      <c r="E21" s="13">
        <v>3200</v>
      </c>
      <c r="F21" s="13" t="s">
        <v>74</v>
      </c>
      <c r="G21" s="13">
        <v>2</v>
      </c>
      <c r="H21" s="13">
        <v>6400</v>
      </c>
      <c r="I21" s="13" t="s">
        <v>26</v>
      </c>
    </row>
    <row r="22" spans="1:9" x14ac:dyDescent="0.3">
      <c r="A22" s="1">
        <v>1020</v>
      </c>
      <c r="B22" s="2">
        <v>46266</v>
      </c>
      <c r="C22" s="1" t="s">
        <v>40</v>
      </c>
      <c r="D22" s="1" t="s">
        <v>68</v>
      </c>
      <c r="E22" s="1">
        <v>3200</v>
      </c>
      <c r="F22" s="1" t="s">
        <v>74</v>
      </c>
      <c r="G22" s="1">
        <v>2</v>
      </c>
      <c r="H22" s="1">
        <v>6400</v>
      </c>
      <c r="I22" s="1" t="s">
        <v>26</v>
      </c>
    </row>
    <row r="23" spans="1:9" x14ac:dyDescent="0.3">
      <c r="A23" s="13">
        <v>1062</v>
      </c>
      <c r="B23" s="14">
        <v>46327</v>
      </c>
      <c r="C23" s="13" t="s">
        <v>22</v>
      </c>
      <c r="D23" s="13" t="s">
        <v>68</v>
      </c>
      <c r="E23" s="13">
        <v>3200</v>
      </c>
      <c r="F23" s="13" t="s">
        <v>74</v>
      </c>
      <c r="G23" s="13">
        <v>2</v>
      </c>
      <c r="H23" s="13">
        <v>6400</v>
      </c>
      <c r="I23" s="13" t="s">
        <v>26</v>
      </c>
    </row>
    <row r="24" spans="1:9" x14ac:dyDescent="0.3">
      <c r="A24" s="1">
        <v>1081</v>
      </c>
      <c r="B24" s="2">
        <v>46327</v>
      </c>
      <c r="C24" s="1" t="s">
        <v>33</v>
      </c>
      <c r="D24" s="1" t="s">
        <v>68</v>
      </c>
      <c r="E24" s="1">
        <v>3200</v>
      </c>
      <c r="F24" s="1" t="s">
        <v>74</v>
      </c>
      <c r="G24" s="1">
        <v>2</v>
      </c>
      <c r="H24" s="1">
        <v>6400</v>
      </c>
      <c r="I24" s="1" t="s">
        <v>26</v>
      </c>
    </row>
    <row r="25" spans="1:9" x14ac:dyDescent="0.3">
      <c r="A25" s="13">
        <v>1059</v>
      </c>
      <c r="B25" s="14">
        <v>46327</v>
      </c>
      <c r="C25" s="13" t="s">
        <v>40</v>
      </c>
      <c r="D25" s="13" t="s">
        <v>68</v>
      </c>
      <c r="E25" s="13">
        <v>2800</v>
      </c>
      <c r="F25" s="13" t="s">
        <v>69</v>
      </c>
      <c r="G25" s="13">
        <v>2</v>
      </c>
      <c r="H25" s="13">
        <v>5600</v>
      </c>
      <c r="I25" s="13" t="s">
        <v>26</v>
      </c>
    </row>
    <row r="26" spans="1:9" x14ac:dyDescent="0.3">
      <c r="A26" s="1">
        <v>1053</v>
      </c>
      <c r="B26" s="2">
        <v>46296</v>
      </c>
      <c r="C26" s="1" t="s">
        <v>40</v>
      </c>
      <c r="D26" s="1" t="s">
        <v>88</v>
      </c>
      <c r="E26" s="1">
        <v>5200</v>
      </c>
      <c r="F26" s="1" t="s">
        <v>89</v>
      </c>
      <c r="G26" s="1">
        <v>1</v>
      </c>
      <c r="H26" s="1">
        <v>5200</v>
      </c>
      <c r="I26" s="1" t="s">
        <v>26</v>
      </c>
    </row>
    <row r="27" spans="1:9" x14ac:dyDescent="0.3">
      <c r="A27" s="13">
        <v>1067</v>
      </c>
      <c r="B27" s="14">
        <v>46327</v>
      </c>
      <c r="C27" s="13" t="s">
        <v>40</v>
      </c>
      <c r="D27" s="13" t="s">
        <v>88</v>
      </c>
      <c r="E27" s="13">
        <v>5200</v>
      </c>
      <c r="F27" s="13" t="s">
        <v>89</v>
      </c>
      <c r="G27" s="13">
        <v>1</v>
      </c>
      <c r="H27" s="13">
        <v>5200</v>
      </c>
      <c r="I27" s="13" t="s">
        <v>26</v>
      </c>
    </row>
    <row r="28" spans="1:9" x14ac:dyDescent="0.3">
      <c r="A28" s="1">
        <v>1029</v>
      </c>
      <c r="B28" s="2">
        <v>46296</v>
      </c>
      <c r="C28" s="1" t="s">
        <v>14</v>
      </c>
      <c r="D28" s="1" t="s">
        <v>16</v>
      </c>
      <c r="E28" s="1">
        <v>2500</v>
      </c>
      <c r="F28" s="1" t="s">
        <v>29</v>
      </c>
      <c r="G28" s="1">
        <v>2</v>
      </c>
      <c r="H28" s="1">
        <v>5000</v>
      </c>
      <c r="I28" s="1" t="s">
        <v>26</v>
      </c>
    </row>
    <row r="29" spans="1:9" x14ac:dyDescent="0.3">
      <c r="A29" s="13">
        <v>1030</v>
      </c>
      <c r="B29" s="14">
        <v>46296</v>
      </c>
      <c r="C29" s="13" t="s">
        <v>40</v>
      </c>
      <c r="D29" s="13" t="s">
        <v>16</v>
      </c>
      <c r="E29" s="13">
        <v>2500</v>
      </c>
      <c r="F29" s="13" t="s">
        <v>29</v>
      </c>
      <c r="G29" s="13">
        <v>2</v>
      </c>
      <c r="H29" s="13">
        <v>5000</v>
      </c>
      <c r="I29" s="13" t="s">
        <v>26</v>
      </c>
    </row>
    <row r="30" spans="1:9" x14ac:dyDescent="0.3">
      <c r="A30" s="1">
        <v>1014</v>
      </c>
      <c r="B30" s="2">
        <v>46266</v>
      </c>
      <c r="C30" s="1" t="s">
        <v>14</v>
      </c>
      <c r="D30" s="1" t="s">
        <v>68</v>
      </c>
      <c r="E30" s="1">
        <v>4500</v>
      </c>
      <c r="F30" s="1" t="s">
        <v>71</v>
      </c>
      <c r="G30" s="1">
        <v>1</v>
      </c>
      <c r="H30" s="1">
        <v>4500</v>
      </c>
      <c r="I30" s="1" t="s">
        <v>26</v>
      </c>
    </row>
    <row r="31" spans="1:9" x14ac:dyDescent="0.3">
      <c r="A31" s="13">
        <v>1027</v>
      </c>
      <c r="B31" s="14">
        <v>46296</v>
      </c>
      <c r="C31" s="13" t="s">
        <v>33</v>
      </c>
      <c r="D31" s="13" t="s">
        <v>68</v>
      </c>
      <c r="E31" s="13">
        <v>4500</v>
      </c>
      <c r="F31" s="13" t="s">
        <v>71</v>
      </c>
      <c r="G31" s="13">
        <v>1</v>
      </c>
      <c r="H31" s="13">
        <v>4500</v>
      </c>
      <c r="I31" s="13" t="s">
        <v>26</v>
      </c>
    </row>
    <row r="32" spans="1:9" x14ac:dyDescent="0.3">
      <c r="A32" s="1">
        <v>1055</v>
      </c>
      <c r="B32" s="2">
        <v>46296</v>
      </c>
      <c r="C32" s="1" t="s">
        <v>40</v>
      </c>
      <c r="D32" s="1" t="s">
        <v>68</v>
      </c>
      <c r="E32" s="1">
        <v>4500</v>
      </c>
      <c r="F32" s="1" t="s">
        <v>71</v>
      </c>
      <c r="G32" s="1">
        <v>1</v>
      </c>
      <c r="H32" s="1">
        <v>4500</v>
      </c>
      <c r="I32" s="1" t="s">
        <v>26</v>
      </c>
    </row>
    <row r="33" spans="1:9" x14ac:dyDescent="0.3">
      <c r="A33" s="13">
        <v>1073</v>
      </c>
      <c r="B33" s="14">
        <v>46327</v>
      </c>
      <c r="C33" s="13" t="s">
        <v>14</v>
      </c>
      <c r="D33" s="13" t="s">
        <v>68</v>
      </c>
      <c r="E33" s="13">
        <v>4500</v>
      </c>
      <c r="F33" s="13" t="s">
        <v>71</v>
      </c>
      <c r="G33" s="13">
        <v>1</v>
      </c>
      <c r="H33" s="13">
        <v>4500</v>
      </c>
      <c r="I33" s="13" t="s">
        <v>26</v>
      </c>
    </row>
    <row r="34" spans="1:9" x14ac:dyDescent="0.3">
      <c r="A34" s="1">
        <v>1087</v>
      </c>
      <c r="B34" s="2">
        <v>46327</v>
      </c>
      <c r="C34" s="1" t="s">
        <v>33</v>
      </c>
      <c r="D34" s="1" t="s">
        <v>68</v>
      </c>
      <c r="E34" s="1">
        <v>4500</v>
      </c>
      <c r="F34" s="1" t="s">
        <v>71</v>
      </c>
      <c r="G34" s="1">
        <v>1</v>
      </c>
      <c r="H34" s="1">
        <v>4500</v>
      </c>
      <c r="I34" s="1" t="s">
        <v>26</v>
      </c>
    </row>
    <row r="35" spans="1:9" x14ac:dyDescent="0.3">
      <c r="A35" s="13">
        <v>1045</v>
      </c>
      <c r="B35" s="14">
        <v>46296</v>
      </c>
      <c r="C35" s="13" t="s">
        <v>22</v>
      </c>
      <c r="D35" s="13" t="s">
        <v>16</v>
      </c>
      <c r="E35" s="13">
        <v>1400</v>
      </c>
      <c r="F35" s="13" t="s">
        <v>17</v>
      </c>
      <c r="G35" s="13">
        <v>3</v>
      </c>
      <c r="H35" s="13">
        <v>4200</v>
      </c>
      <c r="I35" s="13" t="s">
        <v>26</v>
      </c>
    </row>
    <row r="36" spans="1:9" x14ac:dyDescent="0.3">
      <c r="A36" s="1">
        <v>1018</v>
      </c>
      <c r="B36" s="2">
        <v>46266</v>
      </c>
      <c r="C36" s="1" t="s">
        <v>33</v>
      </c>
      <c r="D36" s="1" t="s">
        <v>88</v>
      </c>
      <c r="E36" s="1">
        <v>1900</v>
      </c>
      <c r="F36" s="1" t="s">
        <v>93</v>
      </c>
      <c r="G36" s="1">
        <v>2</v>
      </c>
      <c r="H36" s="1">
        <v>3800</v>
      </c>
      <c r="I36" s="1" t="s">
        <v>26</v>
      </c>
    </row>
    <row r="37" spans="1:9" x14ac:dyDescent="0.3">
      <c r="A37" s="13">
        <v>1012</v>
      </c>
      <c r="B37" s="14">
        <v>46266</v>
      </c>
      <c r="C37" s="13" t="s">
        <v>22</v>
      </c>
      <c r="D37" s="13" t="s">
        <v>16</v>
      </c>
      <c r="E37" s="13">
        <v>3600</v>
      </c>
      <c r="F37" s="13" t="s">
        <v>24</v>
      </c>
      <c r="G37" s="13">
        <v>1</v>
      </c>
      <c r="H37" s="13">
        <v>3600</v>
      </c>
      <c r="I37" s="13" t="s">
        <v>26</v>
      </c>
    </row>
    <row r="38" spans="1:9" x14ac:dyDescent="0.3">
      <c r="A38" s="1">
        <v>1023</v>
      </c>
      <c r="B38" s="2">
        <v>46266</v>
      </c>
      <c r="C38" s="1" t="s">
        <v>33</v>
      </c>
      <c r="D38" s="1" t="s">
        <v>16</v>
      </c>
      <c r="E38" s="1">
        <v>3600</v>
      </c>
      <c r="F38" s="1" t="s">
        <v>24</v>
      </c>
      <c r="G38" s="1">
        <v>1</v>
      </c>
      <c r="H38" s="1">
        <v>3600</v>
      </c>
      <c r="I38" s="1" t="s">
        <v>26</v>
      </c>
    </row>
    <row r="39" spans="1:9" x14ac:dyDescent="0.3">
      <c r="A39" s="13">
        <v>1050</v>
      </c>
      <c r="B39" s="14">
        <v>46296</v>
      </c>
      <c r="C39" s="13" t="s">
        <v>22</v>
      </c>
      <c r="D39" s="13" t="s">
        <v>16</v>
      </c>
      <c r="E39" s="13">
        <v>3600</v>
      </c>
      <c r="F39" s="13" t="s">
        <v>24</v>
      </c>
      <c r="G39" s="13">
        <v>1</v>
      </c>
      <c r="H39" s="13">
        <v>3600</v>
      </c>
      <c r="I39" s="13" t="s">
        <v>26</v>
      </c>
    </row>
    <row r="40" spans="1:9" x14ac:dyDescent="0.3">
      <c r="A40" s="1">
        <v>1084</v>
      </c>
      <c r="B40" s="2">
        <v>46327</v>
      </c>
      <c r="C40" s="1" t="s">
        <v>40</v>
      </c>
      <c r="D40" s="1" t="s">
        <v>16</v>
      </c>
      <c r="E40" s="1">
        <v>3600</v>
      </c>
      <c r="F40" s="1" t="s">
        <v>24</v>
      </c>
      <c r="G40" s="1">
        <v>1</v>
      </c>
      <c r="H40" s="1">
        <v>3600</v>
      </c>
      <c r="I40" s="1" t="s">
        <v>26</v>
      </c>
    </row>
    <row r="41" spans="1:9" x14ac:dyDescent="0.3">
      <c r="A41" s="13">
        <v>1017</v>
      </c>
      <c r="B41" s="14">
        <v>46266</v>
      </c>
      <c r="C41" s="13" t="s">
        <v>33</v>
      </c>
      <c r="D41" s="13" t="s">
        <v>68</v>
      </c>
      <c r="E41" s="13">
        <v>3200</v>
      </c>
      <c r="F41" s="13" t="s">
        <v>74</v>
      </c>
      <c r="G41" s="13">
        <v>1</v>
      </c>
      <c r="H41" s="13">
        <v>3200</v>
      </c>
      <c r="I41" s="13" t="s">
        <v>26</v>
      </c>
    </row>
    <row r="42" spans="1:9" x14ac:dyDescent="0.3">
      <c r="A42" s="1">
        <v>1028</v>
      </c>
      <c r="B42" s="2">
        <v>46296</v>
      </c>
      <c r="C42" s="1" t="s">
        <v>40</v>
      </c>
      <c r="D42" s="1" t="s">
        <v>68</v>
      </c>
      <c r="E42" s="1">
        <v>3200</v>
      </c>
      <c r="F42" s="1" t="s">
        <v>74</v>
      </c>
      <c r="G42" s="1">
        <v>1</v>
      </c>
      <c r="H42" s="1">
        <v>3200</v>
      </c>
      <c r="I42" s="1" t="s">
        <v>26</v>
      </c>
    </row>
    <row r="43" spans="1:9" x14ac:dyDescent="0.3">
      <c r="A43" s="13">
        <v>1066</v>
      </c>
      <c r="B43" s="14">
        <v>46327</v>
      </c>
      <c r="C43" s="13" t="s">
        <v>33</v>
      </c>
      <c r="D43" s="13" t="s">
        <v>68</v>
      </c>
      <c r="E43" s="13">
        <v>3200</v>
      </c>
      <c r="F43" s="13" t="s">
        <v>74</v>
      </c>
      <c r="G43" s="13">
        <v>1</v>
      </c>
      <c r="H43" s="13">
        <v>3200</v>
      </c>
      <c r="I43" s="13" t="s">
        <v>26</v>
      </c>
    </row>
    <row r="44" spans="1:9" x14ac:dyDescent="0.3">
      <c r="A44" s="1">
        <v>1085</v>
      </c>
      <c r="B44" s="2">
        <v>46327</v>
      </c>
      <c r="C44" s="1" t="s">
        <v>33</v>
      </c>
      <c r="D44" s="1" t="s">
        <v>68</v>
      </c>
      <c r="E44" s="1">
        <v>3200</v>
      </c>
      <c r="F44" s="1" t="s">
        <v>74</v>
      </c>
      <c r="G44" s="1">
        <v>1</v>
      </c>
      <c r="H44" s="1">
        <v>3200</v>
      </c>
      <c r="I44" s="1" t="s">
        <v>26</v>
      </c>
    </row>
    <row r="45" spans="1:9" x14ac:dyDescent="0.3">
      <c r="A45" s="13">
        <v>1088</v>
      </c>
      <c r="B45" s="14">
        <v>46327</v>
      </c>
      <c r="C45" s="13" t="s">
        <v>22</v>
      </c>
      <c r="D45" s="13" t="s">
        <v>68</v>
      </c>
      <c r="E45" s="13">
        <v>3200</v>
      </c>
      <c r="F45" s="13" t="s">
        <v>74</v>
      </c>
      <c r="G45" s="13">
        <v>1</v>
      </c>
      <c r="H45" s="13">
        <v>3200</v>
      </c>
      <c r="I45" s="13" t="s">
        <v>26</v>
      </c>
    </row>
    <row r="46" spans="1:9" x14ac:dyDescent="0.3">
      <c r="A46" s="1">
        <v>1038</v>
      </c>
      <c r="B46" s="2">
        <v>46296</v>
      </c>
      <c r="C46" s="1" t="s">
        <v>14</v>
      </c>
      <c r="D46" s="1" t="s">
        <v>16</v>
      </c>
      <c r="E46" s="1">
        <v>1400</v>
      </c>
      <c r="F46" s="1" t="s">
        <v>17</v>
      </c>
      <c r="G46" s="1">
        <v>2</v>
      </c>
      <c r="H46" s="1">
        <v>2800</v>
      </c>
      <c r="I46" s="1" t="s">
        <v>26</v>
      </c>
    </row>
    <row r="47" spans="1:9" x14ac:dyDescent="0.3">
      <c r="A47" s="13">
        <v>1041</v>
      </c>
      <c r="B47" s="14">
        <v>46296</v>
      </c>
      <c r="C47" s="13" t="s">
        <v>22</v>
      </c>
      <c r="D47" s="13" t="s">
        <v>68</v>
      </c>
      <c r="E47" s="13">
        <v>2800</v>
      </c>
      <c r="F47" s="13" t="s">
        <v>69</v>
      </c>
      <c r="G47" s="13">
        <v>1</v>
      </c>
      <c r="H47" s="13">
        <v>2800</v>
      </c>
      <c r="I47" s="13" t="s">
        <v>26</v>
      </c>
    </row>
    <row r="48" spans="1:9" x14ac:dyDescent="0.3">
      <c r="A48" s="1">
        <v>1043</v>
      </c>
      <c r="B48" s="2">
        <v>46296</v>
      </c>
      <c r="C48" s="1" t="s">
        <v>33</v>
      </c>
      <c r="D48" s="1" t="s">
        <v>68</v>
      </c>
      <c r="E48" s="1">
        <v>2800</v>
      </c>
      <c r="F48" s="1" t="s">
        <v>69</v>
      </c>
      <c r="G48" s="1">
        <v>1</v>
      </c>
      <c r="H48" s="1">
        <v>2800</v>
      </c>
      <c r="I48" s="1" t="s">
        <v>26</v>
      </c>
    </row>
    <row r="49" spans="1:9" x14ac:dyDescent="0.3">
      <c r="A49" s="13">
        <v>1051</v>
      </c>
      <c r="B49" s="14">
        <v>46296</v>
      </c>
      <c r="C49" s="13" t="s">
        <v>22</v>
      </c>
      <c r="D49" s="13" t="s">
        <v>16</v>
      </c>
      <c r="E49" s="13">
        <v>1400</v>
      </c>
      <c r="F49" s="13" t="s">
        <v>17</v>
      </c>
      <c r="G49" s="13">
        <v>2</v>
      </c>
      <c r="H49" s="13">
        <v>2800</v>
      </c>
      <c r="I49" s="13" t="s">
        <v>26</v>
      </c>
    </row>
    <row r="50" spans="1:9" x14ac:dyDescent="0.3">
      <c r="A50" s="1">
        <v>1076</v>
      </c>
      <c r="B50" s="2">
        <v>46327</v>
      </c>
      <c r="C50" s="1" t="s">
        <v>14</v>
      </c>
      <c r="D50" s="1" t="s">
        <v>16</v>
      </c>
      <c r="E50" s="1">
        <v>1400</v>
      </c>
      <c r="F50" s="1" t="s">
        <v>17</v>
      </c>
      <c r="G50" s="1">
        <v>2</v>
      </c>
      <c r="H50" s="1">
        <v>2800</v>
      </c>
      <c r="I50" s="1" t="s">
        <v>26</v>
      </c>
    </row>
    <row r="51" spans="1:9" x14ac:dyDescent="0.3">
      <c r="A51" s="13">
        <v>1080</v>
      </c>
      <c r="B51" s="14">
        <v>46327</v>
      </c>
      <c r="C51" s="13" t="s">
        <v>14</v>
      </c>
      <c r="D51" s="13" t="s">
        <v>68</v>
      </c>
      <c r="E51" s="13">
        <v>2800</v>
      </c>
      <c r="F51" s="13" t="s">
        <v>69</v>
      </c>
      <c r="G51" s="13">
        <v>1</v>
      </c>
      <c r="H51" s="13">
        <v>2800</v>
      </c>
      <c r="I51" s="13" t="s">
        <v>26</v>
      </c>
    </row>
    <row r="52" spans="1:9" x14ac:dyDescent="0.3">
      <c r="A52" s="1">
        <v>1032</v>
      </c>
      <c r="B52" s="2">
        <v>46296</v>
      </c>
      <c r="C52" s="1" t="s">
        <v>14</v>
      </c>
      <c r="D52" s="1" t="s">
        <v>88</v>
      </c>
      <c r="E52" s="1">
        <v>1100</v>
      </c>
      <c r="F52" s="1" t="s">
        <v>91</v>
      </c>
      <c r="G52" s="1">
        <v>2</v>
      </c>
      <c r="H52" s="1">
        <v>2200</v>
      </c>
      <c r="I52" s="1" t="s">
        <v>26</v>
      </c>
    </row>
    <row r="53" spans="1:9" x14ac:dyDescent="0.3">
      <c r="A53" s="13">
        <v>1039</v>
      </c>
      <c r="B53" s="14">
        <v>46296</v>
      </c>
      <c r="C53" s="13" t="s">
        <v>14</v>
      </c>
      <c r="D53" s="13" t="s">
        <v>88</v>
      </c>
      <c r="E53" s="13">
        <v>1100</v>
      </c>
      <c r="F53" s="13" t="s">
        <v>91</v>
      </c>
      <c r="G53" s="13">
        <v>2</v>
      </c>
      <c r="H53" s="13">
        <v>2200</v>
      </c>
      <c r="I53" s="13" t="s">
        <v>26</v>
      </c>
    </row>
    <row r="54" spans="1:9" x14ac:dyDescent="0.3">
      <c r="A54" s="1">
        <v>1070</v>
      </c>
      <c r="B54" s="2">
        <v>46327</v>
      </c>
      <c r="C54" s="1" t="s">
        <v>40</v>
      </c>
      <c r="D54" s="1" t="s">
        <v>88</v>
      </c>
      <c r="E54" s="1">
        <v>1100</v>
      </c>
      <c r="F54" s="1" t="s">
        <v>91</v>
      </c>
      <c r="G54" s="1">
        <v>2</v>
      </c>
      <c r="H54" s="1">
        <v>2200</v>
      </c>
      <c r="I54" s="1" t="s">
        <v>26</v>
      </c>
    </row>
    <row r="55" spans="1:9" x14ac:dyDescent="0.3">
      <c r="A55" s="13">
        <v>1007</v>
      </c>
      <c r="B55" s="14">
        <v>46266</v>
      </c>
      <c r="C55" s="13" t="s">
        <v>40</v>
      </c>
      <c r="D55" s="13" t="s">
        <v>88</v>
      </c>
      <c r="E55" s="13">
        <v>1900</v>
      </c>
      <c r="F55" s="13" t="s">
        <v>93</v>
      </c>
      <c r="G55" s="13">
        <v>1</v>
      </c>
      <c r="H55" s="13">
        <v>1900</v>
      </c>
      <c r="I55" s="13" t="s">
        <v>26</v>
      </c>
    </row>
    <row r="56" spans="1:9" x14ac:dyDescent="0.3">
      <c r="A56" s="1">
        <v>1009</v>
      </c>
      <c r="B56" s="2">
        <v>46266</v>
      </c>
      <c r="C56" s="1" t="s">
        <v>14</v>
      </c>
      <c r="D56" s="1" t="s">
        <v>88</v>
      </c>
      <c r="E56" s="1">
        <v>1900</v>
      </c>
      <c r="F56" s="1" t="s">
        <v>93</v>
      </c>
      <c r="G56" s="1">
        <v>1</v>
      </c>
      <c r="H56" s="1">
        <v>1900</v>
      </c>
      <c r="I56" s="1" t="s">
        <v>26</v>
      </c>
    </row>
    <row r="57" spans="1:9" x14ac:dyDescent="0.3">
      <c r="A57" s="13">
        <v>1046</v>
      </c>
      <c r="B57" s="14">
        <v>46296</v>
      </c>
      <c r="C57" s="13" t="s">
        <v>33</v>
      </c>
      <c r="D57" s="13" t="s">
        <v>88</v>
      </c>
      <c r="E57" s="13">
        <v>1900</v>
      </c>
      <c r="F57" s="13" t="s">
        <v>93</v>
      </c>
      <c r="G57" s="13">
        <v>1</v>
      </c>
      <c r="H57" s="13">
        <v>1900</v>
      </c>
      <c r="I57" s="13" t="s">
        <v>26</v>
      </c>
    </row>
    <row r="58" spans="1:9" x14ac:dyDescent="0.3">
      <c r="A58" s="1">
        <v>1072</v>
      </c>
      <c r="B58" s="2">
        <v>46327</v>
      </c>
      <c r="C58" s="1" t="s">
        <v>22</v>
      </c>
      <c r="D58" s="1" t="s">
        <v>88</v>
      </c>
      <c r="E58" s="1">
        <v>1900</v>
      </c>
      <c r="F58" s="1" t="s">
        <v>93</v>
      </c>
      <c r="G58" s="1">
        <v>1</v>
      </c>
      <c r="H58" s="1">
        <v>1900</v>
      </c>
      <c r="I58" s="1" t="s">
        <v>26</v>
      </c>
    </row>
    <row r="59" spans="1:9" x14ac:dyDescent="0.3">
      <c r="A59" s="13">
        <v>1024</v>
      </c>
      <c r="B59" s="14">
        <v>46266</v>
      </c>
      <c r="C59" s="13" t="s">
        <v>40</v>
      </c>
      <c r="D59" s="13" t="s">
        <v>16</v>
      </c>
      <c r="E59" s="13">
        <v>1400</v>
      </c>
      <c r="F59" s="13" t="s">
        <v>17</v>
      </c>
      <c r="G59" s="13">
        <v>1</v>
      </c>
      <c r="H59" s="13">
        <v>1400</v>
      </c>
      <c r="I59" s="13" t="s">
        <v>26</v>
      </c>
    </row>
    <row r="60" spans="1:9" x14ac:dyDescent="0.3">
      <c r="A60" s="1">
        <v>1026</v>
      </c>
      <c r="B60" s="2">
        <v>46266</v>
      </c>
      <c r="C60" s="1" t="s">
        <v>33</v>
      </c>
      <c r="D60" s="1" t="s">
        <v>16</v>
      </c>
      <c r="E60" s="1">
        <v>1400</v>
      </c>
      <c r="F60" s="1" t="s">
        <v>17</v>
      </c>
      <c r="G60" s="1">
        <v>1</v>
      </c>
      <c r="H60" s="1">
        <v>1400</v>
      </c>
      <c r="I60" s="1" t="s">
        <v>26</v>
      </c>
    </row>
    <row r="61" spans="1:9" x14ac:dyDescent="0.3">
      <c r="A61" s="13">
        <v>1079</v>
      </c>
      <c r="B61" s="14">
        <v>46327</v>
      </c>
      <c r="C61" s="13" t="s">
        <v>22</v>
      </c>
      <c r="D61" s="13" t="s">
        <v>16</v>
      </c>
      <c r="E61" s="13">
        <v>1400</v>
      </c>
      <c r="F61" s="13" t="s">
        <v>17</v>
      </c>
      <c r="G61" s="13">
        <v>1</v>
      </c>
      <c r="H61" s="13">
        <v>1400</v>
      </c>
      <c r="I61" s="13" t="s">
        <v>26</v>
      </c>
    </row>
    <row r="62" spans="1:9" x14ac:dyDescent="0.3">
      <c r="A62" s="1">
        <v>1005</v>
      </c>
      <c r="B62" s="2">
        <v>46266</v>
      </c>
      <c r="C62" s="1" t="s">
        <v>40</v>
      </c>
      <c r="D62" s="1" t="s">
        <v>88</v>
      </c>
      <c r="E62" s="1">
        <v>1100</v>
      </c>
      <c r="F62" s="1" t="s">
        <v>91</v>
      </c>
      <c r="G62" s="1">
        <v>1</v>
      </c>
      <c r="H62" s="1">
        <v>1100</v>
      </c>
      <c r="I62" s="1" t="s">
        <v>26</v>
      </c>
    </row>
    <row r="63" spans="1:9" x14ac:dyDescent="0.3">
      <c r="A63" s="13">
        <v>1025</v>
      </c>
      <c r="B63" s="14">
        <v>46266</v>
      </c>
      <c r="C63" s="13" t="s">
        <v>22</v>
      </c>
      <c r="D63" s="13" t="s">
        <v>88</v>
      </c>
      <c r="E63" s="13">
        <v>1100</v>
      </c>
      <c r="F63" s="13" t="s">
        <v>91</v>
      </c>
      <c r="G63" s="13">
        <v>1</v>
      </c>
      <c r="H63" s="13">
        <v>1100</v>
      </c>
      <c r="I63" s="13" t="s">
        <v>26</v>
      </c>
    </row>
    <row r="64" spans="1:9" x14ac:dyDescent="0.3">
      <c r="A64" s="1">
        <v>1048</v>
      </c>
      <c r="B64" s="2">
        <v>46296</v>
      </c>
      <c r="C64" s="1" t="s">
        <v>40</v>
      </c>
      <c r="D64" s="1" t="s">
        <v>88</v>
      </c>
      <c r="E64" s="1">
        <v>1100</v>
      </c>
      <c r="F64" s="1" t="s">
        <v>91</v>
      </c>
      <c r="G64" s="1">
        <v>1</v>
      </c>
      <c r="H64" s="1">
        <v>1100</v>
      </c>
      <c r="I64" s="1" t="s">
        <v>26</v>
      </c>
    </row>
    <row r="65" spans="1:9" x14ac:dyDescent="0.3">
      <c r="A65" s="13">
        <v>1089</v>
      </c>
      <c r="B65" s="14">
        <v>46327</v>
      </c>
      <c r="C65" s="13" t="s">
        <v>40</v>
      </c>
      <c r="D65" s="13" t="s">
        <v>88</v>
      </c>
      <c r="E65" s="13">
        <v>1100</v>
      </c>
      <c r="F65" s="13" t="s">
        <v>91</v>
      </c>
      <c r="G65" s="13">
        <v>1</v>
      </c>
      <c r="H65" s="13">
        <v>1100</v>
      </c>
      <c r="I65" s="1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BCC3-3847-427E-A2DE-9DA612830850}">
  <dimension ref="A3:J8"/>
  <sheetViews>
    <sheetView workbookViewId="0">
      <selection activeCell="H19" sqref="H19"/>
    </sheetView>
  </sheetViews>
  <sheetFormatPr defaultRowHeight="14.4" x14ac:dyDescent="0.3"/>
  <cols>
    <col min="1" max="1" width="15.6640625" bestFit="1" customWidth="1"/>
    <col min="2" max="2" width="14.6640625" bestFit="1" customWidth="1"/>
    <col min="3" max="3" width="7.6640625" bestFit="1" customWidth="1"/>
    <col min="4" max="5" width="6.5546875" bestFit="1" customWidth="1"/>
    <col min="6" max="6" width="12.109375" bestFit="1" customWidth="1"/>
    <col min="8" max="8" width="16.21875" bestFit="1" customWidth="1"/>
    <col min="9" max="9" width="15.6640625" bestFit="1" customWidth="1"/>
    <col min="10" max="10" width="17.88671875" bestFit="1" customWidth="1"/>
    <col min="11" max="12" width="6" bestFit="1" customWidth="1"/>
    <col min="13" max="13" width="10.77734375" bestFit="1" customWidth="1"/>
  </cols>
  <sheetData>
    <row r="3" spans="1:10" ht="15.6" x14ac:dyDescent="0.3">
      <c r="A3" s="21" t="s">
        <v>119</v>
      </c>
      <c r="B3" s="21" t="s">
        <v>129</v>
      </c>
      <c r="C3" s="22"/>
      <c r="D3" s="22"/>
      <c r="E3" s="22"/>
      <c r="F3" s="22"/>
      <c r="G3" s="23"/>
      <c r="H3" s="21" t="s">
        <v>128</v>
      </c>
      <c r="I3" s="22" t="s">
        <v>119</v>
      </c>
      <c r="J3" s="22" t="s">
        <v>120</v>
      </c>
    </row>
    <row r="4" spans="1:10" ht="15.6" x14ac:dyDescent="0.3">
      <c r="A4" s="21" t="s">
        <v>108</v>
      </c>
      <c r="B4" s="24" t="s">
        <v>14</v>
      </c>
      <c r="C4" s="24" t="s">
        <v>33</v>
      </c>
      <c r="D4" s="24" t="s">
        <v>40</v>
      </c>
      <c r="E4" s="24" t="s">
        <v>22</v>
      </c>
      <c r="F4" s="24" t="s">
        <v>115</v>
      </c>
      <c r="G4" s="23"/>
      <c r="H4" s="25" t="s">
        <v>116</v>
      </c>
      <c r="I4" s="24">
        <v>98300</v>
      </c>
      <c r="J4" s="24">
        <v>19</v>
      </c>
    </row>
    <row r="5" spans="1:10" ht="15.6" x14ac:dyDescent="0.3">
      <c r="A5" s="25" t="s">
        <v>16</v>
      </c>
      <c r="B5" s="24">
        <v>10600</v>
      </c>
      <c r="C5" s="24">
        <v>19400</v>
      </c>
      <c r="D5" s="24">
        <v>10000</v>
      </c>
      <c r="E5" s="24">
        <v>37500</v>
      </c>
      <c r="F5" s="24">
        <v>77500</v>
      </c>
      <c r="G5" s="23"/>
      <c r="H5" s="25" t="s">
        <v>117</v>
      </c>
      <c r="I5" s="24">
        <v>93100</v>
      </c>
      <c r="J5" s="24">
        <v>20</v>
      </c>
    </row>
    <row r="6" spans="1:10" ht="15.6" x14ac:dyDescent="0.3">
      <c r="A6" s="25" t="s">
        <v>68</v>
      </c>
      <c r="B6" s="24">
        <v>21400</v>
      </c>
      <c r="C6" s="24">
        <v>73400</v>
      </c>
      <c r="D6" s="24">
        <v>28700</v>
      </c>
      <c r="E6" s="24">
        <v>18800</v>
      </c>
      <c r="F6" s="24">
        <v>142300</v>
      </c>
      <c r="G6" s="23"/>
      <c r="H6" s="25" t="s">
        <v>118</v>
      </c>
      <c r="I6" s="24">
        <v>154800</v>
      </c>
      <c r="J6" s="24">
        <v>24</v>
      </c>
    </row>
    <row r="7" spans="1:10" ht="15.6" x14ac:dyDescent="0.3">
      <c r="A7" s="25" t="s">
        <v>88</v>
      </c>
      <c r="B7" s="24">
        <v>37500</v>
      </c>
      <c r="C7" s="24">
        <v>26500</v>
      </c>
      <c r="D7" s="24">
        <v>43800</v>
      </c>
      <c r="E7" s="24">
        <v>18600</v>
      </c>
      <c r="F7" s="24">
        <v>126400</v>
      </c>
      <c r="G7" s="23"/>
      <c r="H7" s="25" t="s">
        <v>115</v>
      </c>
      <c r="I7" s="24">
        <v>346200</v>
      </c>
      <c r="J7" s="24">
        <v>63</v>
      </c>
    </row>
    <row r="8" spans="1:10" ht="15.6" x14ac:dyDescent="0.3">
      <c r="A8" s="25" t="s">
        <v>115</v>
      </c>
      <c r="B8" s="24">
        <v>69500</v>
      </c>
      <c r="C8" s="24">
        <v>119300</v>
      </c>
      <c r="D8" s="24">
        <v>82500</v>
      </c>
      <c r="E8" s="24">
        <v>74900</v>
      </c>
      <c r="F8" s="24">
        <v>346200</v>
      </c>
      <c r="G8" s="23"/>
      <c r="H8" s="23"/>
      <c r="I8" s="23"/>
      <c r="J8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664CF-4626-4AC4-87F0-756E98C33515}">
  <dimension ref="B3:F6"/>
  <sheetViews>
    <sheetView workbookViewId="0">
      <selection activeCell="D19" sqref="D19"/>
    </sheetView>
  </sheetViews>
  <sheetFormatPr defaultRowHeight="14.4" x14ac:dyDescent="0.3"/>
  <cols>
    <col min="2" max="2" width="12.5546875" bestFit="1" customWidth="1"/>
    <col min="3" max="3" width="12.88671875" bestFit="1" customWidth="1"/>
    <col min="4" max="4" width="15.109375" bestFit="1" customWidth="1"/>
    <col min="5" max="5" width="12.88671875" bestFit="1" customWidth="1"/>
    <col min="6" max="6" width="13.77734375" bestFit="1" customWidth="1"/>
  </cols>
  <sheetData>
    <row r="3" spans="2:6" ht="22.8" x14ac:dyDescent="0.4">
      <c r="B3" s="18" t="s">
        <v>121</v>
      </c>
      <c r="C3" s="18" t="s">
        <v>122</v>
      </c>
      <c r="D3" s="18" t="s">
        <v>123</v>
      </c>
      <c r="E3" s="18" t="s">
        <v>124</v>
      </c>
      <c r="F3" s="18" t="s">
        <v>125</v>
      </c>
    </row>
    <row r="4" spans="2:6" ht="22.8" x14ac:dyDescent="0.4">
      <c r="B4" s="19" t="s">
        <v>110</v>
      </c>
      <c r="C4" s="20">
        <v>63</v>
      </c>
      <c r="D4" s="20">
        <v>63</v>
      </c>
      <c r="E4" s="20">
        <v>63</v>
      </c>
      <c r="F4" s="20" t="s">
        <v>126</v>
      </c>
    </row>
    <row r="5" spans="2:6" ht="22.8" x14ac:dyDescent="0.4">
      <c r="B5" s="19" t="s">
        <v>127</v>
      </c>
      <c r="C5" s="20">
        <v>346200</v>
      </c>
      <c r="D5" s="20">
        <v>346200</v>
      </c>
      <c r="E5" s="20">
        <v>346200</v>
      </c>
      <c r="F5" s="20" t="s">
        <v>126</v>
      </c>
    </row>
    <row r="6" spans="2:6" ht="22.8" x14ac:dyDescent="0.4">
      <c r="B6" s="19" t="s">
        <v>112</v>
      </c>
      <c r="C6" s="20">
        <v>5495.24</v>
      </c>
      <c r="D6" s="20">
        <v>5495.24</v>
      </c>
      <c r="E6" s="20">
        <v>5495.24</v>
      </c>
      <c r="F6" s="20" t="s">
        <v>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79A0C8-A26E-44CC-986D-C01EFCAAC1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dataorders_enriched csv </vt:lpstr>
      <vt:lpstr>Phase 3 clean _enriched CSV</vt:lpstr>
      <vt:lpstr>Completed Orders</vt:lpstr>
      <vt:lpstr>Pivot Table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Dhilip Kumar</cp:lastModifiedBy>
  <dcterms:created xsi:type="dcterms:W3CDTF">2015-06-05T18:17:20Z</dcterms:created>
  <dcterms:modified xsi:type="dcterms:W3CDTF">2026-10-25T16:40:04Z</dcterms:modified>
</cp:coreProperties>
</file>